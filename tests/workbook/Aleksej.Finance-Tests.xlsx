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ests" sheetId="1" r:id="rId1"/>
  </sheets>
  <calcPr calcId="0" fullCalcOnLoad="1"/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4" customWidth="1"/>
    <col min="2" max="2" width="22" customWidth="1"/>
    <col min="3" max="3" width="16" customWidth="1"/>
    <col min="4" max="4" width="34" customWidth="1"/>
    <col min="5" max="5" width="9" customWidth="1"/>
    <col min="6" max="6" width="9" customWidth="1"/>
  </cols>
  <sheetData>
    <row r="1">
      <c r="A1" t="inlineStr" s="1">
        <is>
          <t xml:space="preserve">Aleksej.Finance Excel Add-In - Full Test Suite (152 UDFs)</t>
        </is>
      </c>
      <c r="H1" t="inlineStr" s="1">
        <is>
          <t xml:space="preserve">DATA BLOCKS (inputs for range/matrix functions)</t>
        </is>
      </c>
    </row>
    <row r="2">
      <c r="A2" t="inlineStr">
        <is>
          <t xml:space="preserve">Load the add-in, then press Ctrl+Alt+F9. Dashboard below shows PASS/FAIL. (Async + array rows may need a 2nd recalc.)</t>
        </is>
      </c>
    </row>
    <row r="3">
      <c r="A3" t="inlineStr" s="1">
        <is>
          <t xml:space="preserve">RESULT:</t>
        </is>
      </c>
      <c r="B3" s="1">
        <f>COUNTIF(F7:F400,"PASS")&amp;" / "&amp;(COUNTIF(F7:F400,"PASS")+COUNTIF(F7:F400,"FAIL"))&amp;" PASS"</f>
      </c>
      <c r="H3">
        <v>0.012</v>
      </c>
      <c r="I3">
        <v>0.01</v>
      </c>
      <c r="K3">
        <v>0.5</v>
      </c>
      <c r="L3">
        <v>0.08</v>
      </c>
      <c r="M3">
        <v>0.04</v>
      </c>
      <c r="N3">
        <v>0.01</v>
      </c>
      <c r="O3">
        <v>0</v>
      </c>
      <c r="Q3">
        <v>0.1</v>
      </c>
      <c r="R3">
        <v>0.1</v>
      </c>
      <c r="S3">
        <v>0.01</v>
      </c>
      <c r="U3">
        <v>-1000</v>
      </c>
      <c r="V3">
        <v>0</v>
      </c>
      <c r="X3">
        <v>0.5</v>
      </c>
      <c r="Y3">
        <v>0.03</v>
      </c>
      <c r="AA3">
        <v>100</v>
      </c>
      <c r="AC3">
        <v>10</v>
      </c>
      <c r="AD3">
        <v>100</v>
      </c>
      <c r="AF3">
        <v>0.5</v>
      </c>
      <c r="AG3">
        <v>0.4</v>
      </c>
      <c r="AH3">
        <v>0.1</v>
      </c>
      <c r="AI3">
        <v>0.08</v>
      </c>
      <c r="AK3">
        <v>0.5</v>
      </c>
      <c r="AL3">
        <v>0.03</v>
      </c>
      <c r="AM3">
        <v>0.035</v>
      </c>
      <c r="AN3">
        <v>0.5</v>
      </c>
      <c r="AP3">
        <v>2</v>
      </c>
      <c r="AQ3">
        <v>0.25</v>
      </c>
      <c r="AS3">
        <v>100</v>
      </c>
      <c r="AT3">
        <v>182.5</v>
      </c>
    </row>
    <row r="4">
      <c r="H4">
        <v>-0.008</v>
      </c>
      <c r="I4">
        <v>-0.005</v>
      </c>
      <c r="K4">
        <v>0.3</v>
      </c>
      <c r="L4">
        <v>0.12</v>
      </c>
      <c r="M4">
        <v>0.01</v>
      </c>
      <c r="N4">
        <v>0.06</v>
      </c>
      <c r="O4">
        <v>0.01</v>
      </c>
      <c r="Q4">
        <v>-0.2</v>
      </c>
      <c r="R4">
        <v>0.05</v>
      </c>
      <c r="S4">
        <v>0.02</v>
      </c>
      <c r="U4">
        <v>1100</v>
      </c>
      <c r="V4">
        <v>1</v>
      </c>
      <c r="X4">
        <v>1</v>
      </c>
      <c r="Y4">
        <v>0.032</v>
      </c>
      <c r="AA4">
        <v>110</v>
      </c>
      <c r="AC4">
        <v>20</v>
      </c>
      <c r="AD4">
        <v>50</v>
      </c>
      <c r="AF4">
        <v>0.5</v>
      </c>
      <c r="AG4">
        <v>0.6</v>
      </c>
      <c r="AH4">
        <v>0.04</v>
      </c>
      <c r="AI4">
        <v>0.03</v>
      </c>
      <c r="AK4">
        <v>1</v>
      </c>
      <c r="AL4">
        <v>0.032</v>
      </c>
      <c r="AM4">
        <v>0.036</v>
      </c>
      <c r="AN4">
        <v>0.5</v>
      </c>
      <c r="AP4">
        <v>2</v>
      </c>
      <c r="AQ4">
        <v>0.5</v>
      </c>
    </row>
    <row r="5">
      <c r="H5">
        <v>0.015</v>
      </c>
      <c r="I5">
        <v>0.012</v>
      </c>
      <c r="K5">
        <v>0.2</v>
      </c>
      <c r="L5">
        <v>0.18</v>
      </c>
      <c r="M5">
        <v>0</v>
      </c>
      <c r="N5">
        <v>0.01</v>
      </c>
      <c r="O5">
        <v>0.09</v>
      </c>
      <c r="Q5">
        <v>0.05</v>
      </c>
      <c r="R5">
        <v>-0.05</v>
      </c>
      <c r="S5">
        <v>0.03</v>
      </c>
      <c r="X5">
        <v>1.5</v>
      </c>
      <c r="Y5">
        <v>0.034</v>
      </c>
      <c r="AA5">
        <v>105</v>
      </c>
      <c r="AC5">
        <v>5</v>
      </c>
      <c r="AD5">
        <v>200</v>
      </c>
      <c r="AK5">
        <v>1.5</v>
      </c>
      <c r="AL5">
        <v>0.034</v>
      </c>
      <c r="AM5">
        <v>0.037</v>
      </c>
      <c r="AN5">
        <v>0.5</v>
      </c>
      <c r="AP5">
        <v>2</v>
      </c>
      <c r="AQ5">
        <v>0.75</v>
      </c>
    </row>
    <row r="6">
      <c r="A6" t="inlineStr" s="1">
        <is>
          <t xml:space="preserve">Category</t>
        </is>
      </c>
      <c r="B6" t="inlineStr" s="1">
        <is>
          <t xml:space="preserve">Function</t>
        </is>
      </c>
      <c r="C6" t="inlineStr" s="1">
        <is>
          <t xml:space="preserve">Result</t>
        </is>
      </c>
      <c r="D6" t="inlineStr" s="1">
        <is>
          <t xml:space="preserve">Expected</t>
        </is>
      </c>
      <c r="E6" t="inlineStr" s="1">
        <is>
          <t xml:space="preserve">Tol</t>
        </is>
      </c>
      <c r="F6" t="inlineStr" s="1">
        <is>
          <t xml:space="preserve">Status</t>
        </is>
      </c>
      <c r="H6">
        <v>0.004</v>
      </c>
      <c r="I6">
        <v>0.003</v>
      </c>
      <c r="X6">
        <v>2</v>
      </c>
      <c r="Y6">
        <v>0.035</v>
      </c>
      <c r="AA6">
        <v>130</v>
      </c>
    </row>
    <row r="7">
      <c r="A7" t="inlineStr" s="1">
        <is>
          <t xml:space="preserve">OPTIONS - Black-Scholes</t>
        </is>
      </c>
      <c r="H7">
        <v>-0.011</v>
      </c>
      <c r="I7">
        <v>-0.009</v>
      </c>
      <c r="AA7">
        <v>120</v>
      </c>
    </row>
    <row r="8">
      <c r="A8" t="inlineStr">
        <is>
          <t xml:space="preserve">Options</t>
        </is>
      </c>
      <c r="B8" t="inlineStr">
        <is>
          <t xml:space="preserve">BS_CALL</t>
        </is>
      </c>
      <c r="C8">
        <f>BS_CALL(100,100,1,0.05,0.2)</f>
      </c>
      <c r="D8">
        <v>10.4506</v>
      </c>
      <c r="E8">
        <v>0.001</v>
      </c>
      <c r="F8">
        <f>IF(ISNUMBER(C8),IF(ABS(C8-D8)&lt;=E8,"PASS","FAIL"),"FAIL")</f>
      </c>
      <c r="H8">
        <v>0.02</v>
      </c>
      <c r="I8">
        <v>0.016</v>
      </c>
    </row>
    <row r="9">
      <c r="A9" t="inlineStr">
        <is>
          <t xml:space="preserve">Options</t>
        </is>
      </c>
      <c r="B9" t="inlineStr">
        <is>
          <t xml:space="preserve">BS_PUT</t>
        </is>
      </c>
      <c r="C9">
        <f>BS_PUT(100,100,1,0.05,0.2)</f>
      </c>
      <c r="D9">
        <v>5.5735</v>
      </c>
      <c r="E9">
        <v>0.001</v>
      </c>
      <c r="F9">
        <f>IF(ISNUMBER(C9),IF(ABS(C9-D9)&lt;=E9,"PASS","FAIL"),"FAIL")</f>
      </c>
      <c r="H9">
        <v>-0.006</v>
      </c>
      <c r="I9">
        <v>-0.004</v>
      </c>
    </row>
    <row r="10">
      <c r="A10" t="inlineStr">
        <is>
          <t xml:space="preserve">Options</t>
        </is>
      </c>
      <c r="B10" t="inlineStr">
        <is>
          <t xml:space="preserve">BS_DELTA</t>
        </is>
      </c>
      <c r="C10">
        <f>BS_DELTA(100,100,1,0.05,0.2,FALSE)</f>
      </c>
      <c r="D10">
        <v>0.6368</v>
      </c>
      <c r="E10">
        <v>0.001</v>
      </c>
      <c r="F10">
        <f>IF(ISNUMBER(C10),IF(ABS(C10-D10)&lt;=E10,"PASS","FAIL"),"FAIL")</f>
      </c>
      <c r="H10">
        <v>0.009</v>
      </c>
      <c r="I10">
        <v>0.007</v>
      </c>
    </row>
    <row r="11">
      <c r="A11" t="inlineStr">
        <is>
          <t xml:space="preserve">Options</t>
        </is>
      </c>
      <c r="B11" t="inlineStr">
        <is>
          <t xml:space="preserve">BS_GAMMA</t>
        </is>
      </c>
      <c r="C11">
        <f>BS_GAMMA(100,100,1,0.05,0.2)</f>
      </c>
      <c r="D11">
        <v>0.01876</v>
      </c>
      <c r="E11">
        <v>0.001</v>
      </c>
      <c r="F11">
        <f>IF(ISNUMBER(C11),IF(ABS(C11-D11)&lt;=E11,"PASS","FAIL"),"FAIL")</f>
      </c>
      <c r="H11">
        <v>-0.003</v>
      </c>
      <c r="I11">
        <v>-0.002</v>
      </c>
    </row>
    <row r="12">
      <c r="A12" t="inlineStr">
        <is>
          <t xml:space="preserve">Options</t>
        </is>
      </c>
      <c r="B12" t="inlineStr">
        <is>
          <t xml:space="preserve">BS_VEGA</t>
        </is>
      </c>
      <c r="C12">
        <f>BS_VEGA(100,100,1,0.05,0.2)</f>
      </c>
      <c r="D12">
        <v>0.3752</v>
      </c>
      <c r="E12">
        <v>0.001</v>
      </c>
      <c r="F12">
        <f>IF(ISNUMBER(C12),IF(ABS(C12-D12)&lt;=E12,"PASS","FAIL"),"FAIL")</f>
      </c>
      <c r="H12">
        <v>0.014</v>
      </c>
      <c r="I12">
        <v>0.011</v>
      </c>
    </row>
    <row r="13">
      <c r="A13" t="inlineStr">
        <is>
          <t xml:space="preserve">Options</t>
        </is>
      </c>
      <c r="B13" t="inlineStr">
        <is>
          <t xml:space="preserve">BS_THETA</t>
        </is>
      </c>
      <c r="C13">
        <f>BS_THETA(100,100,1,0.05,0.2,FALSE)</f>
      </c>
      <c r="D13" t="inlineStr">
        <is>
          <t xml:space="preserve">negative</t>
        </is>
      </c>
      <c r="F13">
        <f>IF(AND(ISNUMBER(C13),C13&lt;0),"PASS","FAIL")</f>
      </c>
    </row>
    <row r="14">
      <c r="A14" t="inlineStr">
        <is>
          <t xml:space="preserve">Options</t>
        </is>
      </c>
      <c r="B14" t="inlineStr">
        <is>
          <t xml:space="preserve">BS_RHO</t>
        </is>
      </c>
      <c r="C14">
        <f>BS_RHO(100,100,1,0.05,0.2,FALSE)</f>
      </c>
      <c r="D14" t="inlineStr">
        <is>
          <t xml:space="preserve">positive</t>
        </is>
      </c>
      <c r="F14">
        <f>IF(AND(ISNUMBER(C14),C14&gt;0),"PASS","FAIL")</f>
      </c>
    </row>
    <row r="15">
      <c r="A15" t="inlineStr">
        <is>
          <t xml:space="preserve">Options</t>
        </is>
      </c>
      <c r="B15" t="inlineStr">
        <is>
          <t xml:space="preserve">BS_IV</t>
        </is>
      </c>
      <c r="C15">
        <f>BS_IV(10.4506,100,100,1,0.05,FALSE)</f>
      </c>
      <c r="D15">
        <v>0.2</v>
      </c>
      <c r="E15">
        <v>0.001</v>
      </c>
      <c r="F15">
        <f>IF(ISNUMBER(C15),IF(ABS(C15-D15)&lt;=E15,"PASS","FAIL"),"FAIL")</f>
      </c>
    </row>
    <row r="16">
      <c r="A16" t="inlineStr">
        <is>
          <t xml:space="preserve">Options</t>
        </is>
      </c>
      <c r="B16" t="inlineStr">
        <is>
          <t xml:space="preserve">BS_VANNA</t>
        </is>
      </c>
      <c r="C16">
        <f>BS_VANNA(100,100,1,0.05,0.2)</f>
      </c>
      <c r="D16" t="inlineStr">
        <is>
          <t xml:space="preserve">number</t>
        </is>
      </c>
      <c r="F16">
        <f>IF(ISNUMBER(C16),"PASS","FAIL")</f>
      </c>
    </row>
    <row r="17">
      <c r="A17" t="inlineStr">
        <is>
          <t xml:space="preserve">Options</t>
        </is>
      </c>
      <c r="B17" t="inlineStr">
        <is>
          <t xml:space="preserve">BS_CHARM</t>
        </is>
      </c>
      <c r="C17">
        <f>BS_CHARM(100,100,1,0.05,0.2)</f>
      </c>
      <c r="D17" t="inlineStr">
        <is>
          <t xml:space="preserve">number</t>
        </is>
      </c>
      <c r="F17">
        <f>IF(ISNUMBER(C17),"PASS","FAIL")</f>
      </c>
    </row>
    <row r="18">
      <c r="A18" t="inlineStr">
        <is>
          <t xml:space="preserve">Options</t>
        </is>
      </c>
      <c r="B18" t="inlineStr">
        <is>
          <t xml:space="preserve">BS_VOLGA</t>
        </is>
      </c>
      <c r="C18">
        <f>BS_VOLGA(100,100,1,0.05,0.2)</f>
      </c>
      <c r="D18" t="inlineStr">
        <is>
          <t xml:space="preserve">number</t>
        </is>
      </c>
      <c r="F18">
        <f>IF(ISNUMBER(C18),"PASS","FAIL")</f>
      </c>
    </row>
    <row r="19">
      <c r="A19" t="inlineStr">
        <is>
          <t xml:space="preserve">Options</t>
        </is>
      </c>
      <c r="B19" t="inlineStr">
        <is>
          <t xml:space="preserve">BS_SPEED</t>
        </is>
      </c>
      <c r="C19">
        <f>BS_SPEED(100,100,1,0.05,0.2)</f>
      </c>
      <c r="D19" t="inlineStr">
        <is>
          <t xml:space="preserve">number</t>
        </is>
      </c>
      <c r="F19">
        <f>IF(ISNUMBER(C19),"PASS","FAIL")</f>
      </c>
    </row>
    <row r="20">
      <c r="A20" t="inlineStr">
        <is>
          <t xml:space="preserve">Options</t>
        </is>
      </c>
      <c r="B20" t="inlineStr">
        <is>
          <t xml:space="preserve">BS_ZOMMA</t>
        </is>
      </c>
      <c r="C20">
        <f>BS_ZOMMA(100,100,1,0.05,0.2)</f>
      </c>
      <c r="D20" t="inlineStr">
        <is>
          <t xml:space="preserve">number</t>
        </is>
      </c>
      <c r="F20">
        <f>IF(ISNUMBER(C20),"PASS","FAIL")</f>
      </c>
    </row>
    <row r="21">
      <c r="A21" t="inlineStr" s="1">
        <is>
          <t xml:space="preserve">OPTIONS - Binomial Tree</t>
        </is>
      </c>
    </row>
    <row r="22">
      <c r="A22" t="inlineStr">
        <is>
          <t xml:space="preserve">Options</t>
        </is>
      </c>
      <c r="B22" t="inlineStr">
        <is>
          <t xml:space="preserve">BT_PRICE</t>
        </is>
      </c>
      <c r="C22">
        <f>BT_PRICE(100,100,1,0.05,0.2,300,FALSE,FALSE)</f>
      </c>
      <c r="D22">
        <v>10.4506</v>
      </c>
      <c r="E22">
        <v>0.1</v>
      </c>
      <c r="F22">
        <f>IF(ISNUMBER(C22),IF(ABS(C22-D22)&lt;=E22,"PASS","FAIL"),"FAIL")</f>
      </c>
    </row>
    <row r="23">
      <c r="A23" t="inlineStr">
        <is>
          <t xml:space="preserve">Options</t>
        </is>
      </c>
      <c r="B23" t="inlineStr">
        <is>
          <t xml:space="preserve">BT_DELTA</t>
        </is>
      </c>
      <c r="C23">
        <f>BT_DELTA(100,100,1,0.05,0.2,300,FALSE,FALSE)</f>
      </c>
      <c r="D23" t="inlineStr">
        <is>
          <t xml:space="preserve">in[0,1]</t>
        </is>
      </c>
      <c r="F23">
        <f>IF(AND(ISNUMBER(C23),C23&gt;=0,C23&lt;=1),"PASS","FAIL")</f>
      </c>
    </row>
    <row r="24">
      <c r="A24" t="inlineStr">
        <is>
          <t xml:space="preserve">Options</t>
        </is>
      </c>
      <c r="B24" t="inlineStr">
        <is>
          <t xml:space="preserve">BT_GAMMA</t>
        </is>
      </c>
      <c r="C24">
        <f>BT_GAMMA(100,100,1,0.05,0.2,300,FALSE)</f>
      </c>
      <c r="D24" t="inlineStr">
        <is>
          <t xml:space="preserve">positive</t>
        </is>
      </c>
      <c r="F24">
        <f>IF(AND(ISNUMBER(C24),C24&gt;0),"PASS","FAIL")</f>
      </c>
    </row>
    <row r="25">
      <c r="A25" t="inlineStr" s="1">
        <is>
          <t xml:space="preserve">OPTIONS - Exotic</t>
        </is>
      </c>
    </row>
    <row r="26">
      <c r="A26" t="inlineStr">
        <is>
          <t xml:space="preserve">Options</t>
        </is>
      </c>
      <c r="B26" t="inlineStr">
        <is>
          <t xml:space="preserve">EX_BINARY_CASH</t>
        </is>
      </c>
      <c r="C26">
        <f>EX_BINARY_CASH(100,100,1,0.05,0.2,10,FALSE)</f>
      </c>
      <c r="D26" t="inlineStr">
        <is>
          <t xml:space="preserve">in[0,10]</t>
        </is>
      </c>
      <c r="F26">
        <f>IF(AND(ISNUMBER(C26),C26&gt;0),"PASS","FAIL")</f>
      </c>
    </row>
    <row r="27">
      <c r="A27" t="inlineStr">
        <is>
          <t xml:space="preserve">Options</t>
        </is>
      </c>
      <c r="B27" t="inlineStr">
        <is>
          <t xml:space="preserve">EX_BINARY_ASSET</t>
        </is>
      </c>
      <c r="C27">
        <f>EX_BINARY_ASSET(100,100,1,0.05,0.2,FALSE)</f>
      </c>
      <c r="D27" t="inlineStr">
        <is>
          <t xml:space="preserve">positive</t>
        </is>
      </c>
      <c r="F27">
        <f>IF(AND(ISNUMBER(C27),C27&gt;0),"PASS","FAIL")</f>
      </c>
    </row>
    <row r="28">
      <c r="A28" t="inlineStr">
        <is>
          <t xml:space="preserve">Options</t>
        </is>
      </c>
      <c r="B28" t="inlineStr">
        <is>
          <t xml:space="preserve">EX_BARRIER_CALL</t>
        </is>
      </c>
      <c r="C28">
        <f>EX_BARRIER_CALL(100,100,90,1,0.05,0.2,FALSE,FALSE)</f>
      </c>
      <c r="D28" t="inlineStr">
        <is>
          <t xml:space="preserve">positive</t>
        </is>
      </c>
      <c r="F28">
        <f>IF(AND(ISNUMBER(C28),C28&gt;0),"PASS","FAIL")</f>
      </c>
    </row>
    <row r="29">
      <c r="A29" t="inlineStr">
        <is>
          <t xml:space="preserve">Options</t>
        </is>
      </c>
      <c r="B29" t="inlineStr">
        <is>
          <t xml:space="preserve">EX_BARRIER_PUT</t>
        </is>
      </c>
      <c r="C29">
        <f>EX_BARRIER_PUT(100,100,90,1,0.05,0.2,FALSE,FALSE)</f>
      </c>
      <c r="D29" t="inlineStr">
        <is>
          <t xml:space="preserve">positive</t>
        </is>
      </c>
      <c r="F29">
        <f>IF(AND(ISNUMBER(C29),C29&gt;0),"PASS","FAIL")</f>
      </c>
    </row>
    <row r="30">
      <c r="A30" t="inlineStr">
        <is>
          <t xml:space="preserve">Options</t>
        </is>
      </c>
      <c r="B30" t="inlineStr">
        <is>
          <t xml:space="preserve">EX_ASIAN_GEO</t>
        </is>
      </c>
      <c r="C30">
        <f>EX_ASIAN_GEO(100,100,1,0.05,0.2,FALSE)</f>
      </c>
      <c r="D30" t="inlineStr">
        <is>
          <t xml:space="preserve">positive</t>
        </is>
      </c>
      <c r="F30">
        <f>IF(AND(ISNUMBER(C30),C30&gt;0),"PASS","FAIL")</f>
      </c>
    </row>
    <row r="31">
      <c r="A31" t="inlineStr">
        <is>
          <t xml:space="preserve">Options</t>
        </is>
      </c>
      <c r="B31" t="inlineStr">
        <is>
          <t xml:space="preserve">EX_ASIAN_ARITH</t>
        </is>
      </c>
      <c r="C31">
        <f>EX_ASIAN_ARITH(100,100,1,0.05,0.2,12,20000,FALSE,42)</f>
      </c>
      <c r="D31" t="inlineStr">
        <is>
          <t xml:space="preserve">positive (stochastic)</t>
        </is>
      </c>
      <c r="F31">
        <f>IF(AND(ISNUMBER(C31),C31&gt;0),"PASS","FAIL")</f>
      </c>
    </row>
    <row r="32">
      <c r="A32" t="inlineStr">
        <is>
          <t xml:space="preserve">Options</t>
        </is>
      </c>
      <c r="B32" t="inlineStr">
        <is>
          <t xml:space="preserve">EX_LOOKBACK_CALL</t>
        </is>
      </c>
      <c r="C32">
        <f>EX_LOOKBACK_CALL(100,100,1,0.05,0.2)</f>
      </c>
      <c r="D32" t="inlineStr">
        <is>
          <t xml:space="preserve">positive</t>
        </is>
      </c>
      <c r="F32">
        <f>IF(AND(ISNUMBER(C32),C32&gt;0),"PASS","FAIL")</f>
      </c>
    </row>
    <row r="33">
      <c r="A33" t="inlineStr">
        <is>
          <t xml:space="preserve">Options</t>
        </is>
      </c>
      <c r="B33" t="inlineStr">
        <is>
          <t xml:space="preserve">EX_LOOKBACK_PUT</t>
        </is>
      </c>
      <c r="C33">
        <f>EX_LOOKBACK_PUT(100,100,1,0.05,0.2)</f>
      </c>
      <c r="D33" t="inlineStr">
        <is>
          <t xml:space="preserve">positive</t>
        </is>
      </c>
      <c r="F33">
        <f>IF(AND(ISNUMBER(C33),C33&gt;0),"PASS","FAIL")</f>
      </c>
    </row>
    <row r="34">
      <c r="A34" t="inlineStr" s="1">
        <is>
          <t xml:space="preserve">OPTIONS - Garman-Kohlhagen (FX)</t>
        </is>
      </c>
    </row>
    <row r="35">
      <c r="A35" t="inlineStr">
        <is>
          <t xml:space="preserve">Options</t>
        </is>
      </c>
      <c r="B35" t="inlineStr">
        <is>
          <t xml:space="preserve">GK_CALL</t>
        </is>
      </c>
      <c r="C35">
        <f>GK_CALL(1.2,1.25,1,0.05,0.03,0.15)</f>
      </c>
      <c r="D35" t="inlineStr">
        <is>
          <t xml:space="preserve">positive</t>
        </is>
      </c>
      <c r="F35">
        <f>IF(AND(ISNUMBER(C35),C35&gt;0),"PASS","FAIL")</f>
      </c>
    </row>
    <row r="36">
      <c r="A36" t="inlineStr">
        <is>
          <t xml:space="preserve">Options</t>
        </is>
      </c>
      <c r="B36" t="inlineStr">
        <is>
          <t xml:space="preserve">GK_PUT</t>
        </is>
      </c>
      <c r="C36">
        <f>GK_PUT(1.2,1.25,1,0.05,0.03,0.15)</f>
      </c>
      <c r="D36" t="inlineStr">
        <is>
          <t xml:space="preserve">positive</t>
        </is>
      </c>
      <c r="F36">
        <f>IF(AND(ISNUMBER(C36),C36&gt;0),"PASS","FAIL")</f>
      </c>
    </row>
    <row r="37">
      <c r="A37" t="inlineStr">
        <is>
          <t xml:space="preserve">Options</t>
        </is>
      </c>
      <c r="B37" t="inlineStr">
        <is>
          <t xml:space="preserve">GK_DELTA</t>
        </is>
      </c>
      <c r="C37">
        <f>GK_DELTA(1.2,1.25,1,0.05,0.03,0.15,FALSE)</f>
      </c>
      <c r="D37" t="inlineStr">
        <is>
          <t xml:space="preserve">in[0,1]</t>
        </is>
      </c>
      <c r="F37">
        <f>IF(AND(ISNUMBER(C37),C37&gt;=0,C37&lt;=1),"PASS","FAIL")</f>
      </c>
    </row>
    <row r="38">
      <c r="A38" t="inlineStr">
        <is>
          <t xml:space="preserve">Options</t>
        </is>
      </c>
      <c r="B38" t="inlineStr">
        <is>
          <t xml:space="preserve">GK_GAMMA</t>
        </is>
      </c>
      <c r="C38">
        <f>GK_GAMMA(1.2,1.25,1,0.05,0.03,0.15)</f>
      </c>
      <c r="D38" t="inlineStr">
        <is>
          <t xml:space="preserve">positive</t>
        </is>
      </c>
      <c r="F38">
        <f>IF(AND(ISNUMBER(C38),C38&gt;0),"PASS","FAIL")</f>
      </c>
    </row>
    <row r="39">
      <c r="A39" t="inlineStr">
        <is>
          <t xml:space="preserve">Options</t>
        </is>
      </c>
      <c r="B39" t="inlineStr">
        <is>
          <t xml:space="preserve">GK_VEGA</t>
        </is>
      </c>
      <c r="C39">
        <f>GK_VEGA(1.2,1.25,1,0.05,0.03,0.15)</f>
      </c>
      <c r="D39" t="inlineStr">
        <is>
          <t xml:space="preserve">positive</t>
        </is>
      </c>
      <c r="F39">
        <f>IF(AND(ISNUMBER(C39),C39&gt;0),"PASS","FAIL")</f>
      </c>
    </row>
    <row r="40">
      <c r="A40" t="inlineStr">
        <is>
          <t xml:space="preserve">Options</t>
        </is>
      </c>
      <c r="B40" t="inlineStr">
        <is>
          <t xml:space="preserve">GK_THETA</t>
        </is>
      </c>
      <c r="C40">
        <f>GK_THETA(1.2,1.25,1,0.05,0.03,0.15,FALSE)</f>
      </c>
      <c r="D40" t="inlineStr">
        <is>
          <t xml:space="preserve">number</t>
        </is>
      </c>
      <c r="F40">
        <f>IF(ISNUMBER(C40),"PASS","FAIL")</f>
      </c>
    </row>
    <row r="41">
      <c r="A41" t="inlineStr">
        <is>
          <t xml:space="preserve">Options</t>
        </is>
      </c>
      <c r="B41" t="inlineStr">
        <is>
          <t xml:space="preserve">GK_RHO</t>
        </is>
      </c>
      <c r="C41">
        <f>GK_RHO(1.2,1.25,1,0.05,0.03,0.15,FALSE)</f>
      </c>
      <c r="D41" t="inlineStr">
        <is>
          <t xml:space="preserve">number</t>
        </is>
      </c>
      <c r="F41">
        <f>IF(ISNUMBER(C41),"PASS","FAIL")</f>
      </c>
    </row>
    <row r="42">
      <c r="A42" t="inlineStr">
        <is>
          <t xml:space="preserve">Options</t>
        </is>
      </c>
      <c r="B42" t="inlineStr">
        <is>
          <t xml:space="preserve">GK_RHO_FOREIGN</t>
        </is>
      </c>
      <c r="C42">
        <f>GK_RHO_FOREIGN(1.2,1.25,1,0.05,0.03,0.15,FALSE)</f>
      </c>
      <c r="D42" t="inlineStr">
        <is>
          <t xml:space="preserve">number</t>
        </is>
      </c>
      <c r="F42">
        <f>IF(ISNUMBER(C42),"PASS","FAIL")</f>
      </c>
    </row>
    <row r="43">
      <c r="A43" t="inlineStr">
        <is>
          <t xml:space="preserve">Options</t>
        </is>
      </c>
      <c r="B43" t="inlineStr">
        <is>
          <t xml:space="preserve">GK_IV</t>
        </is>
      </c>
      <c r="C43">
        <f>GK_IV(GK_CALL(1.2,1.25,1,0.05,0.03,0.15),1.2,1.25,1,0.05,0.03,FALSE)</f>
      </c>
      <c r="D43">
        <v>0.15</v>
      </c>
      <c r="E43">
        <v>0.001</v>
      </c>
      <c r="F43">
        <f>IF(ISNUMBER(C43),IF(ABS(C43-D43)&lt;=E43,"PASS","FAIL"),"FAIL")</f>
      </c>
    </row>
    <row r="44">
      <c r="A44" t="inlineStr" s="1">
        <is>
          <t xml:space="preserve">OPTIONS - Options on Futures</t>
        </is>
      </c>
    </row>
    <row r="45">
      <c r="A45" t="inlineStr">
        <is>
          <t xml:space="preserve">Options</t>
        </is>
      </c>
      <c r="B45" t="inlineStr">
        <is>
          <t xml:space="preserve">OF_CALL</t>
        </is>
      </c>
      <c r="C45">
        <f>OF_CALL(100,100,1,0.05,0.2)</f>
      </c>
      <c r="D45" t="inlineStr">
        <is>
          <t xml:space="preserve">positive</t>
        </is>
      </c>
      <c r="F45">
        <f>IF(AND(ISNUMBER(C45),C45&gt;0),"PASS","FAIL")</f>
      </c>
    </row>
    <row r="46">
      <c r="A46" t="inlineStr">
        <is>
          <t xml:space="preserve">Options</t>
        </is>
      </c>
      <c r="B46" t="inlineStr">
        <is>
          <t xml:space="preserve">OF_PUT</t>
        </is>
      </c>
      <c r="C46">
        <f>OF_PUT(100,100,1,0.05,0.2)</f>
      </c>
      <c r="D46" t="inlineStr">
        <is>
          <t xml:space="preserve">positive</t>
        </is>
      </c>
      <c r="F46">
        <f>IF(AND(ISNUMBER(C46),C46&gt;0),"PASS","FAIL")</f>
      </c>
    </row>
    <row r="47">
      <c r="A47" t="inlineStr">
        <is>
          <t xml:space="preserve">Options</t>
        </is>
      </c>
      <c r="B47" t="inlineStr">
        <is>
          <t xml:space="preserve">OF_CALL_FROM_PUT</t>
        </is>
      </c>
      <c r="C47">
        <f>OF_CALL_FROM_PUT(OF_PUT(100,100,1,0.05,0.2),100,100,1,0.05)</f>
      </c>
      <c r="D47" t="inlineStr">
        <is>
          <t xml:space="preserve">positive</t>
        </is>
      </c>
      <c r="F47">
        <f>IF(AND(ISNUMBER(C47),C47&gt;0),"PASS","FAIL")</f>
      </c>
    </row>
    <row r="48">
      <c r="A48" t="inlineStr">
        <is>
          <t xml:space="preserve">Options</t>
        </is>
      </c>
      <c r="B48" t="inlineStr">
        <is>
          <t xml:space="preserve">OF_DELTA</t>
        </is>
      </c>
      <c r="C48">
        <f>OF_DELTA(100,100,1,0.05,0.2,FALSE)</f>
      </c>
      <c r="D48" t="inlineStr">
        <is>
          <t xml:space="preserve">in[0,1]</t>
        </is>
      </c>
      <c r="F48">
        <f>IF(AND(ISNUMBER(C48),C48&gt;=0,C48&lt;=1),"PASS","FAIL")</f>
      </c>
    </row>
    <row r="49">
      <c r="A49" t="inlineStr">
        <is>
          <t xml:space="preserve">Options</t>
        </is>
      </c>
      <c r="B49" t="inlineStr">
        <is>
          <t xml:space="preserve">OF_GAMMA</t>
        </is>
      </c>
      <c r="C49">
        <f>OF_GAMMA(100,100,1,0.05,0.2)</f>
      </c>
      <c r="D49" t="inlineStr">
        <is>
          <t xml:space="preserve">positive</t>
        </is>
      </c>
      <c r="F49">
        <f>IF(AND(ISNUMBER(C49),C49&gt;0),"PASS","FAIL")</f>
      </c>
    </row>
    <row r="50">
      <c r="A50" t="inlineStr">
        <is>
          <t xml:space="preserve">Options</t>
        </is>
      </c>
      <c r="B50" t="inlineStr">
        <is>
          <t xml:space="preserve">OF_VEGA</t>
        </is>
      </c>
      <c r="C50">
        <f>OF_VEGA(100,100,1,0.05,0.2)</f>
      </c>
      <c r="D50" t="inlineStr">
        <is>
          <t xml:space="preserve">positive</t>
        </is>
      </c>
      <c r="F50">
        <f>IF(AND(ISNUMBER(C50),C50&gt;0),"PASS","FAIL")</f>
      </c>
    </row>
    <row r="51">
      <c r="A51" t="inlineStr">
        <is>
          <t xml:space="preserve">Options</t>
        </is>
      </c>
      <c r="B51" t="inlineStr">
        <is>
          <t xml:space="preserve">OF_IV</t>
        </is>
      </c>
      <c r="C51">
        <f>OF_IV(OF_CALL(100,100,1,0.05,0.2),100,100,1,0.05,FALSE)</f>
      </c>
      <c r="D51">
        <v>0.2</v>
      </c>
      <c r="E51">
        <v>0.001</v>
      </c>
      <c r="F51">
        <f>IF(ISNUMBER(C51),IF(ABS(C51-D51)&lt;=E51,"PASS","FAIL"),"FAIL")</f>
      </c>
    </row>
    <row r="52">
      <c r="A52" t="inlineStr" s="1">
        <is>
          <t xml:space="preserve">BONDS</t>
        </is>
      </c>
    </row>
    <row r="53">
      <c r="A53" t="inlineStr">
        <is>
          <t xml:space="preserve">Bonds</t>
        </is>
      </c>
      <c r="B53" t="inlineStr">
        <is>
          <t xml:space="preserve">BOND_PRICE</t>
        </is>
      </c>
      <c r="C53">
        <f>BOND_PRICE(1000,0.05,0.05,10)</f>
      </c>
      <c r="D53">
        <v>1000</v>
      </c>
      <c r="E53">
        <v>0.001</v>
      </c>
      <c r="F53">
        <f>IF(ISNUMBER(C53),IF(ABS(C53-D53)&lt;=E53,"PASS","FAIL"),"FAIL")</f>
      </c>
    </row>
    <row r="54">
      <c r="A54" t="inlineStr">
        <is>
          <t xml:space="preserve">Bonds</t>
        </is>
      </c>
      <c r="B54" t="inlineStr">
        <is>
          <t xml:space="preserve">BOND_YTM</t>
        </is>
      </c>
      <c r="C54">
        <f>BOND_YTM(1000,1000,0.05,10)</f>
      </c>
      <c r="D54">
        <v>0.05</v>
      </c>
      <c r="E54">
        <v>0.0001</v>
      </c>
      <c r="F54">
        <f>IF(ISNUMBER(C54),IF(ABS(C54-D54)&lt;=E54,"PASS","FAIL"),"FAIL")</f>
      </c>
    </row>
    <row r="55">
      <c r="A55" t="inlineStr">
        <is>
          <t xml:space="preserve">Bonds</t>
        </is>
      </c>
      <c r="B55" t="inlineStr">
        <is>
          <t xml:space="preserve">BOND_DURATION</t>
        </is>
      </c>
      <c r="C55">
        <f>BOND_DURATION(1000,0.05,0.05,10,2)</f>
      </c>
      <c r="D55" t="inlineStr">
        <is>
          <t xml:space="preserve">positive</t>
        </is>
      </c>
      <c r="F55">
        <f>IF(AND(ISNUMBER(C55),C55&gt;0),"PASS","FAIL")</f>
      </c>
    </row>
    <row r="56">
      <c r="A56" t="inlineStr">
        <is>
          <t xml:space="preserve">Bonds</t>
        </is>
      </c>
      <c r="B56" t="inlineStr">
        <is>
          <t xml:space="preserve">BOND_MOD_DURATION</t>
        </is>
      </c>
      <c r="C56">
        <f>BOND_MOD_DURATION(1000,0.05,0.05,10,2)</f>
      </c>
      <c r="D56" t="inlineStr">
        <is>
          <t xml:space="preserve">positive</t>
        </is>
      </c>
      <c r="F56">
        <f>IF(AND(ISNUMBER(C56),C56&gt;0),"PASS","FAIL")</f>
      </c>
    </row>
    <row r="57">
      <c r="A57" t="inlineStr">
        <is>
          <t xml:space="preserve">Bonds</t>
        </is>
      </c>
      <c r="B57" t="inlineStr">
        <is>
          <t xml:space="preserve">BOND_CONVEXITY</t>
        </is>
      </c>
      <c r="C57">
        <f>BOND_CONVEXITY(1000,0.05,0.05,10,2)</f>
      </c>
      <c r="D57" t="inlineStr">
        <is>
          <t xml:space="preserve">positive</t>
        </is>
      </c>
      <c r="F57">
        <f>IF(AND(ISNUMBER(C57),C57&gt;0),"PASS","FAIL")</f>
      </c>
    </row>
    <row r="58">
      <c r="A58" t="inlineStr">
        <is>
          <t xml:space="preserve">Bonds</t>
        </is>
      </c>
      <c r="B58" t="inlineStr">
        <is>
          <t xml:space="preserve">BOND_DV01</t>
        </is>
      </c>
      <c r="C58">
        <f>BOND_DV01(1000,0.05,0.05,10,2)</f>
      </c>
      <c r="D58" t="inlineStr">
        <is>
          <t xml:space="preserve">positive</t>
        </is>
      </c>
      <c r="F58">
        <f>IF(AND(ISNUMBER(C58),C58&gt;0),"PASS","FAIL")</f>
      </c>
    </row>
    <row r="59">
      <c r="A59" t="inlineStr">
        <is>
          <t xml:space="preserve">Bonds</t>
        </is>
      </c>
      <c r="B59" t="inlineStr">
        <is>
          <t xml:space="preserve">BOND_PRICE_CHANGE</t>
        </is>
      </c>
      <c r="C59">
        <f>BOND_PRICE_CHANGE(1000,0.05,0.05,10,0.001,2)</f>
      </c>
      <c r="D59" t="inlineStr">
        <is>
          <t xml:space="preserve">negative</t>
        </is>
      </c>
      <c r="F59">
        <f>IF(AND(ISNUMBER(C59),C59&lt;0),"PASS","FAIL")</f>
      </c>
    </row>
    <row r="60">
      <c r="A60" t="inlineStr">
        <is>
          <t xml:space="preserve">Bonds</t>
        </is>
      </c>
      <c r="B60" t="inlineStr">
        <is>
          <t xml:space="preserve">YC_DF</t>
        </is>
      </c>
      <c r="C60">
        <f>YC_DF(0.05,3)</f>
      </c>
      <c r="D60">
        <v>0.860708</v>
      </c>
      <c r="E60">
        <v>0.0001</v>
      </c>
      <c r="F60">
        <f>IF(ISNUMBER(C60),IF(ABS(C60-D60)&lt;=E60,"PASS","FAIL"),"FAIL")</f>
      </c>
    </row>
    <row r="61">
      <c r="A61" t="inlineStr">
        <is>
          <t xml:space="preserve">Bonds</t>
        </is>
      </c>
      <c r="B61" t="inlineStr">
        <is>
          <t xml:space="preserve">YC_TO_CONT</t>
        </is>
      </c>
      <c r="C61">
        <f>YC_TO_CONT(0.06,2)</f>
      </c>
      <c r="D61" t="inlineStr">
        <is>
          <t xml:space="preserve">number</t>
        </is>
      </c>
      <c r="F61">
        <f>IF(ISNUMBER(C61),"PASS","FAIL")</f>
      </c>
    </row>
    <row r="62">
      <c r="A62" t="inlineStr">
        <is>
          <t xml:space="preserve">Bonds</t>
        </is>
      </c>
      <c r="B62" t="inlineStr">
        <is>
          <t xml:space="preserve">YC_FROM_CONT</t>
        </is>
      </c>
      <c r="C62">
        <f>YC_FROM_CONT(0.06,2)</f>
      </c>
      <c r="D62" t="inlineStr">
        <is>
          <t xml:space="preserve">number</t>
        </is>
      </c>
      <c r="F62">
        <f>IF(ISNUMBER(C62),"PASS","FAIL")</f>
      </c>
    </row>
    <row r="63">
      <c r="A63" t="inlineStr">
        <is>
          <t xml:space="preserve">Bonds</t>
        </is>
      </c>
      <c r="B63" t="inlineStr">
        <is>
          <t xml:space="preserve">YC_FWD_RATE</t>
        </is>
      </c>
      <c r="C63">
        <f>YC_FWD_RATE(0.05,1,0.05,2)</f>
      </c>
      <c r="D63">
        <v>0.05</v>
      </c>
      <c r="E63">
        <v>0.0001</v>
      </c>
      <c r="F63">
        <f>IF(ISNUMBER(C63),IF(ABS(C63-D63)&lt;=E63,"PASS","FAIL"),"FAIL")</f>
      </c>
    </row>
    <row r="64">
      <c r="A64" t="inlineStr">
        <is>
          <t xml:space="preserve">Bonds</t>
        </is>
      </c>
      <c r="B64" t="inlineStr">
        <is>
          <t xml:space="preserve">YC_INTERPOLATE</t>
        </is>
      </c>
      <c r="C64">
        <f>YC_INTERPOLATE(X3:X6,Y3:Y6,1.0)</f>
      </c>
      <c r="D64">
        <v>0.032</v>
      </c>
      <c r="E64">
        <v>0.0001</v>
      </c>
      <c r="F64">
        <f>IF(ISNUMBER(C64),IF(ABS(C64-D64)&lt;=E64,"PASS","FAIL"),"FAIL")</f>
      </c>
    </row>
    <row r="65">
      <c r="A65" t="inlineStr">
        <is>
          <t xml:space="preserve">Bonds</t>
        </is>
      </c>
      <c r="B65" t="inlineStr">
        <is>
          <t xml:space="preserve">YC_PAR_YIELD</t>
        </is>
      </c>
      <c r="C65">
        <f>YC_PAR_YIELD(X3:X6,Y3:Y6,2,2)</f>
      </c>
      <c r="D65" t="inlineStr">
        <is>
          <t xml:space="preserve">positive</t>
        </is>
      </c>
      <c r="F65">
        <f>IF(AND(ISNUMBER(C65),C65&gt;0),"PASS","FAIL")</f>
      </c>
    </row>
    <row r="66">
      <c r="A66" t="inlineStr">
        <is>
          <t xml:space="preserve">Bonds</t>
        </is>
      </c>
      <c r="B66" t="inlineStr">
        <is>
          <t xml:space="preserve">MORT_PAYMENT</t>
        </is>
      </c>
      <c r="C66">
        <f>MORT_PAYMENT(100000,0.06,30,12)</f>
      </c>
      <c r="D66">
        <v>599.55</v>
      </c>
      <c r="E66">
        <v>0.1</v>
      </c>
      <c r="F66">
        <f>IF(ISNUMBER(C66),IF(ABS(C66-D66)&lt;=E66,"PASS","FAIL"),"FAIL")</f>
      </c>
    </row>
    <row r="67">
      <c r="A67" t="inlineStr">
        <is>
          <t xml:space="preserve">Bonds</t>
        </is>
      </c>
      <c r="B67" t="inlineStr">
        <is>
          <t xml:space="preserve">MORT_BALANCE</t>
        </is>
      </c>
      <c r="C67">
        <f>MORT_BALANCE(100000,0.06,30,0,12)</f>
      </c>
      <c r="D67">
        <v>100000</v>
      </c>
      <c r="E67">
        <v>1</v>
      </c>
      <c r="F67">
        <f>IF(ISNUMBER(C67),IF(ABS(C67-D67)&lt;=E67,"PASS","FAIL"),"FAIL")</f>
      </c>
    </row>
    <row r="68">
      <c r="A68" t="inlineStr">
        <is>
          <t xml:space="preserve">Bonds</t>
        </is>
      </c>
      <c r="B68" t="inlineStr">
        <is>
          <t xml:space="preserve">MORT_TOTAL_INTEREST</t>
        </is>
      </c>
      <c r="C68">
        <f>MORT_TOTAL_INTEREST(100000,0.06,30,12)</f>
      </c>
      <c r="D68" t="inlineStr">
        <is>
          <t xml:space="preserve">positive</t>
        </is>
      </c>
      <c r="F68">
        <f>IF(AND(ISNUMBER(C68),C68&gt;0),"PASS","FAIL")</f>
      </c>
    </row>
    <row r="69">
      <c r="A69" t="inlineStr">
        <is>
          <t xml:space="preserve">Bonds</t>
        </is>
      </c>
      <c r="B69" t="inlineStr">
        <is>
          <t xml:space="preserve">MORT_EAR</t>
        </is>
      </c>
      <c r="C69">
        <f>MORT_EAR(0.06,12)</f>
      </c>
      <c r="D69">
        <v>0.061678</v>
      </c>
      <c r="E69">
        <v>0.0001</v>
      </c>
      <c r="F69">
        <f>IF(ISNUMBER(C69),IF(ABS(C69-D69)&lt;=E69,"PASS","FAIL"),"FAIL")</f>
      </c>
    </row>
    <row r="70">
      <c r="A70" t="inlineStr" s="1">
        <is>
          <t xml:space="preserve">DERIVATIVES - Forwards &amp; Futures</t>
        </is>
      </c>
    </row>
    <row r="71">
      <c r="A71" t="inlineStr">
        <is>
          <t xml:space="preserve">Derivatives</t>
        </is>
      </c>
      <c r="B71" t="inlineStr">
        <is>
          <t xml:space="preserve">FWD_PRICE</t>
        </is>
      </c>
      <c r="C71">
        <f>FWD_PRICE(100,0.05,1)</f>
      </c>
      <c r="D71">
        <v>105.1271</v>
      </c>
      <c r="E71">
        <v>0.001</v>
      </c>
      <c r="F71">
        <f>IF(ISNUMBER(C71),IF(ABS(C71-D71)&lt;=E71,"PASS","FAIL"),"FAIL")</f>
      </c>
    </row>
    <row r="72">
      <c r="A72" t="inlineStr">
        <is>
          <t xml:space="preserve">Derivatives</t>
        </is>
      </c>
      <c r="B72" t="inlineStr">
        <is>
          <t xml:space="preserve">FWD_PRICE_YIELD</t>
        </is>
      </c>
      <c r="C72">
        <f>FWD_PRICE_YIELD(100,0.05,0.02,1)</f>
      </c>
      <c r="D72">
        <v>103.0455</v>
      </c>
      <c r="E72">
        <v>0.001</v>
      </c>
      <c r="F72">
        <f>IF(ISNUMBER(C72),IF(ABS(C72-D72)&lt;=E72,"PASS","FAIL"),"FAIL")</f>
      </c>
    </row>
    <row r="73">
      <c r="A73" t="inlineStr">
        <is>
          <t xml:space="preserve">Derivatives</t>
        </is>
      </c>
      <c r="B73" t="inlineStr">
        <is>
          <t xml:space="preserve">FWD_PRICE_INCOME</t>
        </is>
      </c>
      <c r="C73">
        <f>FWD_PRICE_INCOME(100,5,0.05,1)</f>
      </c>
      <c r="D73" t="inlineStr">
        <is>
          <t xml:space="preserve">positive</t>
        </is>
      </c>
      <c r="F73">
        <f>IF(AND(ISNUMBER(C73),C73&gt;0),"PASS","FAIL")</f>
      </c>
    </row>
    <row r="74">
      <c r="A74" t="inlineStr">
        <is>
          <t xml:space="preserve">Derivatives</t>
        </is>
      </c>
      <c r="B74" t="inlineStr">
        <is>
          <t xml:space="preserve">FWD_FX</t>
        </is>
      </c>
      <c r="C74">
        <f>FWD_FX(1.2,0.04,0.01,0.5)</f>
      </c>
      <c r="D74">
        <v>1.21813</v>
      </c>
      <c r="E74">
        <v>0.001</v>
      </c>
      <c r="F74">
        <f>IF(ISNUMBER(C74),IF(ABS(C74-D74)&lt;=E74,"PASS","FAIL"),"FAIL")</f>
      </c>
    </row>
    <row r="75">
      <c r="A75" t="inlineStr">
        <is>
          <t xml:space="preserve">Derivatives</t>
        </is>
      </c>
      <c r="B75" t="inlineStr">
        <is>
          <t xml:space="preserve">FWD_COMMODITY</t>
        </is>
      </c>
      <c r="C75">
        <f>FWD_COMMODITY(50,0.03,0.02,0.01,1)</f>
      </c>
      <c r="D75" t="inlineStr">
        <is>
          <t xml:space="preserve">positive</t>
        </is>
      </c>
      <c r="F75">
        <f>IF(AND(ISNUMBER(C75),C75&gt;0),"PASS","FAIL")</f>
      </c>
    </row>
    <row r="76">
      <c r="A76" t="inlineStr">
        <is>
          <t xml:space="preserve">Derivatives</t>
        </is>
      </c>
      <c r="B76" t="inlineStr">
        <is>
          <t xml:space="preserve">FWD_VALUE</t>
        </is>
      </c>
      <c r="C76">
        <f>FWD_VALUE(110,100,0.05,1)</f>
      </c>
      <c r="D76">
        <v>9.5123</v>
      </c>
      <c r="E76">
        <v>0.001</v>
      </c>
      <c r="F76">
        <f>IF(ISNUMBER(C76),IF(ABS(C76-D76)&lt;=E76,"PASS","FAIL"),"FAIL")</f>
      </c>
    </row>
    <row r="77">
      <c r="A77" t="inlineStr">
        <is>
          <t xml:space="preserve">Derivatives</t>
        </is>
      </c>
      <c r="B77" t="inlineStr">
        <is>
          <t xml:space="preserve">FWD_VALUE_SHORT</t>
        </is>
      </c>
      <c r="C77">
        <f>FWD_VALUE_SHORT(110,100,0.05,1)</f>
      </c>
      <c r="D77">
        <v>-9.5123</v>
      </c>
      <c r="E77">
        <v>0.001</v>
      </c>
      <c r="F77">
        <f>IF(ISNUMBER(C77),IF(ABS(C77-D77)&lt;=E77,"PASS","FAIL"),"FAIL")</f>
      </c>
    </row>
    <row r="78">
      <c r="A78" t="inlineStr">
        <is>
          <t xml:space="preserve">Derivatives</t>
        </is>
      </c>
      <c r="B78" t="inlineStr">
        <is>
          <t xml:space="preserve">FWD_PV_INCOME</t>
        </is>
      </c>
      <c r="C78">
        <f>FWD_PV_INCOME(AP3:AP5,AQ3:AQ5,0.05)</f>
      </c>
      <c r="D78" t="inlineStr">
        <is>
          <t xml:space="preserve">positive</t>
        </is>
      </c>
      <c r="F78">
        <f>IF(AND(ISNUMBER(C78),C78&gt;0),"PASS","FAIL")</f>
      </c>
    </row>
    <row r="79">
      <c r="A79" t="inlineStr" s="1">
        <is>
          <t xml:space="preserve">DERIVATIVES - FRA</t>
        </is>
      </c>
    </row>
    <row r="80">
      <c r="A80" t="inlineStr">
        <is>
          <t xml:space="preserve">Derivatives</t>
        </is>
      </c>
      <c r="B80" t="inlineStr">
        <is>
          <t xml:space="preserve">FRA_RATE</t>
        </is>
      </c>
      <c r="C80">
        <f>FRA_RATE(0.03,1,0.035,2)</f>
      </c>
      <c r="D80">
        <v>0.04</v>
      </c>
      <c r="E80">
        <v>0.0001</v>
      </c>
      <c r="F80">
        <f>IF(ISNUMBER(C80),IF(ABS(C80-D80)&lt;=E80,"PASS","FAIL"),"FAIL")</f>
      </c>
    </row>
    <row r="81">
      <c r="A81" t="inlineStr">
        <is>
          <t xml:space="preserve">Derivatives</t>
        </is>
      </c>
      <c r="B81" t="inlineStr">
        <is>
          <t xml:space="preserve">FRA_RATE_SIMPLE</t>
        </is>
      </c>
      <c r="C81">
        <f>FRA_RATE_SIMPLE(0.03,1,0.035,2)</f>
      </c>
      <c r="D81" t="inlineStr">
        <is>
          <t xml:space="preserve">positive</t>
        </is>
      </c>
      <c r="F81">
        <f>IF(AND(ISNUMBER(C81),C81&gt;0),"PASS","FAIL")</f>
      </c>
    </row>
    <row r="82">
      <c r="A82" t="inlineStr">
        <is>
          <t xml:space="preserve">Derivatives</t>
        </is>
      </c>
      <c r="B82" t="inlineStr">
        <is>
          <t xml:space="preserve">FRA_VALUE</t>
        </is>
      </c>
      <c r="C82">
        <f>FRA_VALUE(1000000,0.05,0.03,1,0.035,2,TRUE)</f>
      </c>
      <c r="D82" t="inlineStr">
        <is>
          <t xml:space="preserve">number</t>
        </is>
      </c>
      <c r="F82">
        <f>IF(ISNUMBER(C82),"PASS","FAIL")</f>
      </c>
    </row>
    <row r="83">
      <c r="A83" t="inlineStr">
        <is>
          <t xml:space="preserve">Derivatives</t>
        </is>
      </c>
      <c r="B83" t="inlineStr">
        <is>
          <t xml:space="preserve">FRA_SETTLEMENT</t>
        </is>
      </c>
      <c r="C83">
        <f>FRA_SETTLEMENT(1000000,0.05,0.06,1,2,TRUE)</f>
      </c>
      <c r="D83" t="inlineStr">
        <is>
          <t xml:space="preserve">number</t>
        </is>
      </c>
      <c r="F83">
        <f>IF(ISNUMBER(C83),"PASS","FAIL")</f>
      </c>
    </row>
    <row r="84">
      <c r="A84" t="inlineStr">
        <is>
          <t xml:space="preserve">Derivatives</t>
        </is>
      </c>
      <c r="B84" t="inlineStr">
        <is>
          <t xml:space="preserve">FRA_DV01</t>
        </is>
      </c>
      <c r="C84">
        <f>FRA_DV01(1000000,0.05,0.03,1,0.035,2,TRUE)</f>
      </c>
      <c r="D84" t="inlineStr">
        <is>
          <t xml:space="preserve">number</t>
        </is>
      </c>
      <c r="F84">
        <f>IF(ISNUMBER(C84),"PASS","FAIL")</f>
      </c>
    </row>
    <row r="85">
      <c r="A85" t="inlineStr" s="1">
        <is>
          <t xml:space="preserve">DERIVATIVES - Interest Rate Swap</t>
        </is>
      </c>
    </row>
    <row r="86">
      <c r="A86" t="inlineStr">
        <is>
          <t xml:space="preserve">Derivatives</t>
        </is>
      </c>
      <c r="B86" t="inlineStr">
        <is>
          <t xml:space="preserve">IRS_VALUE</t>
        </is>
      </c>
      <c r="C86">
        <f>IRS_VALUE(100,0.05,X3:X6,Y3:Y6,0.026,0.25,0.029,TRUE)</f>
      </c>
      <c r="D86" t="inlineStr">
        <is>
          <t xml:space="preserve">number</t>
        </is>
      </c>
      <c r="F86">
        <f>IF(ISNUMBER(C86),"PASS","FAIL")</f>
      </c>
    </row>
    <row r="87">
      <c r="A87" t="inlineStr">
        <is>
          <t xml:space="preserve">Derivatives</t>
        </is>
      </c>
      <c r="B87" t="inlineStr">
        <is>
          <t xml:space="preserve">IRS_PAR_RATE</t>
        </is>
      </c>
      <c r="C87">
        <f>IRS_PAR_RATE(X3:X6,Y3:Y6,2)</f>
      </c>
      <c r="D87" t="inlineStr">
        <is>
          <t xml:space="preserve">positive</t>
        </is>
      </c>
      <c r="F87">
        <f>IF(AND(ISNUMBER(C87),C87&gt;0),"PASS","FAIL")</f>
      </c>
    </row>
    <row r="88">
      <c r="A88" t="inlineStr">
        <is>
          <t xml:space="preserve">Derivatives</t>
        </is>
      </c>
      <c r="B88" t="inlineStr">
        <is>
          <t xml:space="preserve">IRS_FIXED_LEG</t>
        </is>
      </c>
      <c r="C88">
        <f>IRS_FIXED_LEG(100,0.05,X3:X6,Y3:Y6,2,FALSE)</f>
      </c>
      <c r="D88" t="inlineStr">
        <is>
          <t xml:space="preserve">positive</t>
        </is>
      </c>
      <c r="F88">
        <f>IF(AND(ISNUMBER(C88),C88&gt;0),"PASS","FAIL")</f>
      </c>
    </row>
    <row r="89">
      <c r="A89" t="inlineStr">
        <is>
          <t xml:space="preserve">Derivatives</t>
        </is>
      </c>
      <c r="B89" t="inlineStr">
        <is>
          <t xml:space="preserve">IRS_FLOAT_LEG</t>
        </is>
      </c>
      <c r="C89">
        <f>IRS_FLOAT_LEG(100,0.026,0.25,0.03)</f>
      </c>
      <c r="D89" t="inlineStr">
        <is>
          <t xml:space="preserve">positive</t>
        </is>
      </c>
      <c r="F89">
        <f>IF(AND(ISNUMBER(C89),C89&gt;0),"PASS","FAIL")</f>
      </c>
    </row>
    <row r="90">
      <c r="A90" t="inlineStr">
        <is>
          <t xml:space="preserve">Derivatives</t>
        </is>
      </c>
      <c r="B90" t="inlineStr">
        <is>
          <t xml:space="preserve">IRS_DV01</t>
        </is>
      </c>
      <c r="C90">
        <f>IRS_DV01(100,0.05,X3:X6,Y3:Y6,0.026,0.25,0.029,TRUE)</f>
      </c>
      <c r="D90" t="inlineStr">
        <is>
          <t xml:space="preserve">number</t>
        </is>
      </c>
      <c r="F90">
        <f>IF(ISNUMBER(C90),"PASS","FAIL")</f>
      </c>
    </row>
    <row r="91">
      <c r="A91" t="inlineStr" s="1">
        <is>
          <t xml:space="preserve">DERIVATIVES - Black Model (Caps/Floors/Swaptions)</t>
        </is>
      </c>
    </row>
    <row r="92">
      <c r="A92" t="inlineStr">
        <is>
          <t xml:space="preserve">Derivatives</t>
        </is>
      </c>
      <c r="B92" t="inlineStr">
        <is>
          <t xml:space="preserve">BM_CAPLET</t>
        </is>
      </c>
      <c r="C92">
        <f>BM_CAPLET(100,0.04,0.04,1,0.03,0.2,0.5,FALSE)</f>
      </c>
      <c r="D92" t="inlineStr">
        <is>
          <t xml:space="preserve">positive</t>
        </is>
      </c>
      <c r="F92">
        <f>IF(AND(ISNUMBER(C92),C92&gt;0),"PASS","FAIL")</f>
      </c>
    </row>
    <row r="93">
      <c r="A93" t="inlineStr">
        <is>
          <t xml:space="preserve">Derivatives</t>
        </is>
      </c>
      <c r="B93" t="inlineStr">
        <is>
          <t xml:space="preserve">BM_CAP</t>
        </is>
      </c>
      <c r="C93">
        <f>BM_CAP(100,0.04,0.2,AK3:AK5,AL3:AL5,AM3:AM5,AN3:AN5)</f>
      </c>
      <c r="D93" t="inlineStr">
        <is>
          <t xml:space="preserve">positive</t>
        </is>
      </c>
      <c r="F93">
        <f>IF(AND(ISNUMBER(C93),C93&gt;0),"PASS","FAIL")</f>
      </c>
    </row>
    <row r="94">
      <c r="A94" t="inlineStr">
        <is>
          <t xml:space="preserve">Derivatives</t>
        </is>
      </c>
      <c r="B94" t="inlineStr">
        <is>
          <t xml:space="preserve">BM_FLOOR</t>
        </is>
      </c>
      <c r="C94">
        <f>BM_FLOOR(100,0.04,0.2,AK3:AK5,AL3:AL5,AM3:AM5,AN3:AN5)</f>
      </c>
      <c r="D94" t="inlineStr">
        <is>
          <t xml:space="preserve">positive</t>
        </is>
      </c>
      <c r="F94">
        <f>IF(AND(ISNUMBER(C94),C94&gt;0),"PASS","FAIL")</f>
      </c>
    </row>
    <row r="95">
      <c r="A95" t="inlineStr">
        <is>
          <t xml:space="preserve">Derivatives</t>
        </is>
      </c>
      <c r="B95" t="inlineStr">
        <is>
          <t xml:space="preserve">BM_FWD_SWAP_RATE</t>
        </is>
      </c>
      <c r="C95">
        <f>BM_FWD_SWAP_RATE(AK3:AK5,AL3:AL5,AN3:AN5)</f>
      </c>
      <c r="D95" t="inlineStr">
        <is>
          <t xml:space="preserve">positive</t>
        </is>
      </c>
      <c r="F95">
        <f>IF(AND(ISNUMBER(C95),C95&gt;0),"PASS","FAIL")</f>
      </c>
    </row>
    <row r="96">
      <c r="A96" t="inlineStr">
        <is>
          <t xml:space="preserve">Derivatives</t>
        </is>
      </c>
      <c r="B96" t="inlineStr">
        <is>
          <t xml:space="preserve">BM_SWAPTION</t>
        </is>
      </c>
      <c r="C96">
        <f>BM_SWAPTION(100,0.035,1,0.1,AK3:AK5,AL3:AL5,AN3:AN5,TRUE)</f>
      </c>
      <c r="D96" t="inlineStr">
        <is>
          <t xml:space="preserve">positive</t>
        </is>
      </c>
      <c r="F96">
        <f>IF(AND(ISNUMBER(C96),C96&gt;0),"PASS","FAIL")</f>
      </c>
    </row>
    <row r="97">
      <c r="A97" t="inlineStr" s="1">
        <is>
          <t xml:space="preserve">DERIVATIVES - Short-Rate Models</t>
        </is>
      </c>
    </row>
    <row r="98">
      <c r="A98" t="inlineStr">
        <is>
          <t xml:space="preserve">Derivatives</t>
        </is>
      </c>
      <c r="B98" t="inlineStr">
        <is>
          <t xml:space="preserve">SR_VASICEK_PRICE</t>
        </is>
      </c>
      <c r="C98">
        <f>SR_VASICEK_PRICE(0.03,5,0.3,0.05,0.02)</f>
      </c>
      <c r="D98" t="inlineStr">
        <is>
          <t xml:space="preserve">in(0,1]</t>
        </is>
      </c>
      <c r="F98">
        <f>IF(AND(ISNUMBER(C98),C98&gt;=0,C98&lt;=1),"PASS","FAIL")</f>
      </c>
    </row>
    <row r="99">
      <c r="A99" t="inlineStr">
        <is>
          <t xml:space="preserve">Derivatives</t>
        </is>
      </c>
      <c r="B99" t="inlineStr">
        <is>
          <t xml:space="preserve">SR_VASICEK_YIELD</t>
        </is>
      </c>
      <c r="C99">
        <f>SR_VASICEK_YIELD(0.03,5,0.3,0.05,0.02)</f>
      </c>
      <c r="D99" t="inlineStr">
        <is>
          <t xml:space="preserve">number</t>
        </is>
      </c>
      <c r="F99">
        <f>IF(ISNUMBER(C99),"PASS","FAIL")</f>
      </c>
    </row>
    <row r="100">
      <c r="A100" t="inlineStr">
        <is>
          <t xml:space="preserve">Derivatives</t>
        </is>
      </c>
      <c r="B100" t="inlineStr">
        <is>
          <t xml:space="preserve">SR_VASICEK_LRYIELD</t>
        </is>
      </c>
      <c r="C100">
        <f>SR_VASICEK_LRYIELD(0.3,0.05,0.02)</f>
      </c>
      <c r="D100" t="inlineStr">
        <is>
          <t xml:space="preserve">number</t>
        </is>
      </c>
      <c r="F100">
        <f>IF(ISNUMBER(C100),"PASS","FAIL")</f>
      </c>
    </row>
    <row r="101">
      <c r="A101" t="inlineStr">
        <is>
          <t xml:space="preserve">Derivatives</t>
        </is>
      </c>
      <c r="B101" t="inlineStr">
        <is>
          <t xml:space="preserve">SR_VASICEK_OPTION</t>
        </is>
      </c>
      <c r="C101">
        <f>SR_VASICEK_OPTION(0.03,1,5,0.8,0.3,0.05,0.02,FALSE)</f>
      </c>
      <c r="D101" t="inlineStr">
        <is>
          <t xml:space="preserve">positive</t>
        </is>
      </c>
      <c r="F101">
        <f>IF(AND(ISNUMBER(C101),C101&gt;0),"PASS","FAIL")</f>
      </c>
    </row>
    <row r="102">
      <c r="A102" t="inlineStr">
        <is>
          <t xml:space="preserve">Derivatives</t>
        </is>
      </c>
      <c r="B102" t="inlineStr">
        <is>
          <t xml:space="preserve">SR_CIR_PRICE</t>
        </is>
      </c>
      <c r="C102">
        <f>SR_CIR_PRICE(0.03,5,0.3,0.05,0.02)</f>
      </c>
      <c r="D102" t="inlineStr">
        <is>
          <t xml:space="preserve">in(0,1]</t>
        </is>
      </c>
      <c r="F102">
        <f>IF(AND(ISNUMBER(C102),C102&gt;=0,C102&lt;=1),"PASS","FAIL")</f>
      </c>
    </row>
    <row r="103">
      <c r="A103" t="inlineStr">
        <is>
          <t xml:space="preserve">Derivatives</t>
        </is>
      </c>
      <c r="B103" t="inlineStr">
        <is>
          <t xml:space="preserve">SR_CIR_YIELD</t>
        </is>
      </c>
      <c r="C103">
        <f>SR_CIR_YIELD(0.03,5,0.3,0.05,0.02)</f>
      </c>
      <c r="D103" t="inlineStr">
        <is>
          <t xml:space="preserve">number</t>
        </is>
      </c>
      <c r="F103">
        <f>IF(ISNUMBER(C103),"PASS","FAIL")</f>
      </c>
    </row>
    <row r="104">
      <c r="A104" t="inlineStr">
        <is>
          <t xml:space="preserve">Derivatives</t>
        </is>
      </c>
      <c r="B104" t="inlineStr">
        <is>
          <t xml:space="preserve">SR_CIR_LRYIELD</t>
        </is>
      </c>
      <c r="C104">
        <f>SR_CIR_LRYIELD(0.3,0.05,0.02)</f>
      </c>
      <c r="D104" t="inlineStr">
        <is>
          <t xml:space="preserve">number</t>
        </is>
      </c>
      <c r="F104">
        <f>IF(ISNUMBER(C104),"PASS","FAIL")</f>
      </c>
    </row>
    <row r="105">
      <c r="A105" t="inlineStr" s="1">
        <is>
          <t xml:space="preserve">CREDIT</t>
        </is>
      </c>
    </row>
    <row r="106">
      <c r="A106" t="inlineStr">
        <is>
          <t xml:space="preserve">Credit</t>
        </is>
      </c>
      <c r="B106" t="inlineStr">
        <is>
          <t xml:space="preserve">CR_MERTON_EQUITY</t>
        </is>
      </c>
      <c r="C106">
        <f>CR_MERTON_EQUITY(100,80,1,0.05,0.2)</f>
      </c>
      <c r="D106" t="inlineStr">
        <is>
          <t xml:space="preserve">positive</t>
        </is>
      </c>
      <c r="F106">
        <f>IF(AND(ISNUMBER(C106),C106&gt;0),"PASS","FAIL")</f>
      </c>
    </row>
    <row r="107">
      <c r="A107" t="inlineStr">
        <is>
          <t xml:space="preserve">Credit</t>
        </is>
      </c>
      <c r="B107" t="inlineStr">
        <is>
          <t xml:space="preserve">CR_MERTON_DEBT</t>
        </is>
      </c>
      <c r="C107">
        <f>CR_MERTON_DEBT(100,80,1,0.05,0.2)</f>
      </c>
      <c r="D107" t="inlineStr">
        <is>
          <t xml:space="preserve">positive</t>
        </is>
      </c>
      <c r="F107">
        <f>IF(AND(ISNUMBER(C107),C107&gt;0),"PASS","FAIL")</f>
      </c>
    </row>
    <row r="108">
      <c r="A108" t="inlineStr">
        <is>
          <t xml:space="preserve">Credit</t>
        </is>
      </c>
      <c r="B108" t="inlineStr">
        <is>
          <t xml:space="preserve">CR_DEFAULT_PROB</t>
        </is>
      </c>
      <c r="C108">
        <f>CR_DEFAULT_PROB(100,80,1,0.05,0.2)</f>
      </c>
      <c r="D108" t="inlineStr">
        <is>
          <t xml:space="preserve">in[0,1]</t>
        </is>
      </c>
      <c r="F108">
        <f>IF(AND(ISNUMBER(C108),C108&gt;=0,C108&lt;=1),"PASS","FAIL")</f>
      </c>
    </row>
    <row r="109">
      <c r="A109" t="inlineStr">
        <is>
          <t xml:space="preserve">Credit</t>
        </is>
      </c>
      <c r="B109" t="inlineStr">
        <is>
          <t xml:space="preserve">CR_DIST_TO_DEFAULT</t>
        </is>
      </c>
      <c r="C109">
        <f>CR_DIST_TO_DEFAULT(100,80,1,0.05,0.2)</f>
      </c>
      <c r="D109" t="inlineStr">
        <is>
          <t xml:space="preserve">positive</t>
        </is>
      </c>
      <c r="F109">
        <f>IF(AND(ISNUMBER(C109),C109&gt;0),"PASS","FAIL")</f>
      </c>
    </row>
    <row r="110">
      <c r="A110" t="inlineStr">
        <is>
          <t xml:space="preserve">Credit</t>
        </is>
      </c>
      <c r="B110" t="inlineStr">
        <is>
          <t xml:space="preserve">CR_CREDIT_SPREAD</t>
        </is>
      </c>
      <c r="C110">
        <f>CR_CREDIT_SPREAD(100,80,1,0.05,0.2)</f>
      </c>
      <c r="D110" t="inlineStr">
        <is>
          <t xml:space="preserve">positive</t>
        </is>
      </c>
      <c r="F110">
        <f>IF(AND(ISNUMBER(C110),C110&gt;0),"PASS","FAIL")</f>
      </c>
    </row>
    <row r="111">
      <c r="A111" t="inlineStr">
        <is>
          <t xml:space="preserve">Credit</t>
        </is>
      </c>
      <c r="B111" t="inlineStr">
        <is>
          <t xml:space="preserve">CR_SURVIVAL_PROB</t>
        </is>
      </c>
      <c r="C111">
        <f>CR_SURVIVAL_PROB(0.02,5)</f>
      </c>
      <c r="D111">
        <v>0.904837</v>
      </c>
      <c r="E111">
        <v>0.0001</v>
      </c>
      <c r="F111">
        <f>IF(ISNUMBER(C111),IF(ABS(C111-D111)&lt;=E111,"PASS","FAIL"),"FAIL")</f>
      </c>
    </row>
    <row r="112">
      <c r="A112" t="inlineStr">
        <is>
          <t xml:space="preserve">Credit</t>
        </is>
      </c>
      <c r="B112" t="inlineStr">
        <is>
          <t xml:space="preserve">CR_HAZARD_FROM_SPREAD</t>
        </is>
      </c>
      <c r="C112">
        <f>CR_HAZARD_FROM_SPREAD(0.012,0.4)</f>
      </c>
      <c r="D112">
        <v>0.02</v>
      </c>
      <c r="E112">
        <v>0.0001</v>
      </c>
      <c r="F112">
        <f>IF(ISNUMBER(C112),IF(ABS(C112-D112)&lt;=E112,"PASS","FAIL"),"FAIL")</f>
      </c>
    </row>
    <row r="113">
      <c r="A113" t="inlineStr">
        <is>
          <t xml:space="preserve">Credit</t>
        </is>
      </c>
      <c r="B113" t="inlineStr">
        <is>
          <t xml:space="preserve">CR_CDS_SPREAD</t>
        </is>
      </c>
      <c r="C113">
        <f>CR_CDS_SPREAD(0.02,0.03,5,0.4,4)</f>
      </c>
      <c r="D113" t="inlineStr">
        <is>
          <t xml:space="preserve">positive</t>
        </is>
      </c>
      <c r="F113">
        <f>IF(AND(ISNUMBER(C113),C113&gt;0),"PASS","FAIL")</f>
      </c>
    </row>
    <row r="114">
      <c r="A114" t="inlineStr">
        <is>
          <t xml:space="preserve">Credit</t>
        </is>
      </c>
      <c r="B114" t="inlineStr">
        <is>
          <t xml:space="preserve">CR_CDS_MTM</t>
        </is>
      </c>
      <c r="C114">
        <f>CR_CDS_MTM(0.005,0.03,0.03,10000000,5,0.4,4)</f>
      </c>
      <c r="D114" t="inlineStr">
        <is>
          <t xml:space="preserve">number</t>
        </is>
      </c>
      <c r="F114">
        <f>IF(ISNUMBER(C114),"PASS","FAIL")</f>
      </c>
    </row>
    <row r="115">
      <c r="A115" t="inlineStr" s="1">
        <is>
          <t xml:space="preserve">PORTFOLIO - Markowitz</t>
        </is>
      </c>
    </row>
    <row r="116">
      <c r="A116" t="inlineStr">
        <is>
          <t xml:space="preserve">Portfolio</t>
        </is>
      </c>
      <c r="B116" t="inlineStr">
        <is>
          <t xml:space="preserve">PORT_RETURN</t>
        </is>
      </c>
      <c r="C116">
        <f>PORT_RETURN(K3:K5,L3:L5)</f>
      </c>
      <c r="D116">
        <v>0.112</v>
      </c>
      <c r="E116">
        <v>0.0001</v>
      </c>
      <c r="F116">
        <f>IF(ISNUMBER(C116),IF(ABS(C116-D116)&lt;=E116,"PASS","FAIL"),"FAIL")</f>
      </c>
    </row>
    <row r="117">
      <c r="A117" t="inlineStr">
        <is>
          <t xml:space="preserve">Portfolio</t>
        </is>
      </c>
      <c r="B117" t="inlineStr">
        <is>
          <t xml:space="preserve">PORT_VOL</t>
        </is>
      </c>
      <c r="C117">
        <f>PORT_VOL(K3:K5,M3:O5)</f>
      </c>
      <c r="D117" t="inlineStr">
        <is>
          <t xml:space="preserve">positive</t>
        </is>
      </c>
      <c r="F117">
        <f>IF(AND(ISNUMBER(C117),C117&gt;0),"PASS","FAIL")</f>
      </c>
    </row>
    <row r="118">
      <c r="A118" t="inlineStr">
        <is>
          <t xml:space="preserve">Portfolio</t>
        </is>
      </c>
      <c r="B118" t="inlineStr">
        <is>
          <t xml:space="preserve">PORT_SHARPE</t>
        </is>
      </c>
      <c r="C118">
        <f>PORT_SHARPE(K3:K5,L3:L5,M3:O5,0.02)</f>
      </c>
      <c r="D118" t="inlineStr">
        <is>
          <t xml:space="preserve">number</t>
        </is>
      </c>
      <c r="F118">
        <f>IF(ISNUMBER(C118),"PASS","FAIL")</f>
      </c>
    </row>
    <row r="119">
      <c r="A119" t="inlineStr" s="1">
        <is>
          <t xml:space="preserve">RISK</t>
        </is>
      </c>
    </row>
    <row r="120">
      <c r="A120" t="inlineStr">
        <is>
          <t xml:space="preserve">Risk</t>
        </is>
      </c>
      <c r="B120" t="inlineStr">
        <is>
          <t xml:space="preserve">SHARPE_RATIO</t>
        </is>
      </c>
      <c r="C120">
        <f>SHARPE_RATIO(H3:H12,0.02)</f>
      </c>
      <c r="D120" t="inlineStr">
        <is>
          <t xml:space="preserve">number</t>
        </is>
      </c>
      <c r="F120">
        <f>IF(ISNUMBER(C120),"PASS","FAIL")</f>
      </c>
    </row>
    <row r="121">
      <c r="A121" t="inlineStr">
        <is>
          <t xml:space="preserve">Risk</t>
        </is>
      </c>
      <c r="B121" t="inlineStr">
        <is>
          <t xml:space="preserve">VAR_HISTORICAL</t>
        </is>
      </c>
      <c r="C121">
        <f>VAR_HISTORICAL(H3:H12,0.95)</f>
      </c>
      <c r="D121" t="inlineStr">
        <is>
          <t xml:space="preserve">number</t>
        </is>
      </c>
      <c r="F121">
        <f>IF(ISNUMBER(C121),"PASS","FAIL")</f>
      </c>
    </row>
    <row r="122">
      <c r="A122" t="inlineStr">
        <is>
          <t xml:space="preserve">Risk</t>
        </is>
      </c>
      <c r="B122" t="inlineStr">
        <is>
          <t xml:space="preserve">VAR_CVAR</t>
        </is>
      </c>
      <c r="C122">
        <f>VAR_CVAR(H3:H12,0.95)</f>
      </c>
      <c r="D122" t="inlineStr">
        <is>
          <t xml:space="preserve">number</t>
        </is>
      </c>
      <c r="F122">
        <f>IF(ISNUMBER(C122),"PASS","FAIL")</f>
      </c>
    </row>
    <row r="123">
      <c r="A123" t="inlineStr">
        <is>
          <t xml:space="preserve">Risk</t>
        </is>
      </c>
      <c r="B123" t="inlineStr">
        <is>
          <t xml:space="preserve">VAR_PARAMETRIC</t>
        </is>
      </c>
      <c r="C123">
        <f>VAR_PARAMETRIC(H3:H12,0.95)</f>
      </c>
      <c r="D123" t="inlineStr">
        <is>
          <t xml:space="preserve">number</t>
        </is>
      </c>
      <c r="F123">
        <f>IF(ISNUMBER(C123),"PASS","FAIL")</f>
      </c>
    </row>
    <row r="124">
      <c r="A124" t="inlineStr">
        <is>
          <t xml:space="preserve">Risk</t>
        </is>
      </c>
      <c r="B124" t="inlineStr">
        <is>
          <t xml:space="preserve">ANN_RETURN</t>
        </is>
      </c>
      <c r="C124">
        <f>ANN_RETURN(S3:S5,10)</f>
      </c>
      <c r="D124">
        <v>0.2</v>
      </c>
      <c r="E124">
        <v>0.0001</v>
      </c>
      <c r="F124">
        <f>IF(ISNUMBER(C124),IF(ABS(C124-D124)&lt;=E124,"PASS","FAIL"),"FAIL")</f>
      </c>
    </row>
    <row r="125">
      <c r="A125" t="inlineStr">
        <is>
          <t xml:space="preserve">Risk</t>
        </is>
      </c>
      <c r="B125" t="inlineStr">
        <is>
          <t xml:space="preserve">ANN_VOL</t>
        </is>
      </c>
      <c r="C125">
        <f>ANN_VOL(H3:H12,252)</f>
      </c>
      <c r="D125" t="inlineStr">
        <is>
          <t xml:space="preserve">positive</t>
        </is>
      </c>
      <c r="F125">
        <f>IF(AND(ISNUMBER(C125),C125&gt;0),"PASS","FAIL")</f>
      </c>
    </row>
    <row r="126">
      <c r="A126" t="inlineStr">
        <is>
          <t xml:space="preserve">Risk</t>
        </is>
      </c>
      <c r="B126" t="inlineStr">
        <is>
          <t xml:space="preserve">MAX_DRAWDOWN</t>
        </is>
      </c>
      <c r="C126">
        <f>MAX_DRAWDOWN(Q3:Q5)</f>
      </c>
      <c r="D126">
        <v>0.2</v>
      </c>
      <c r="E126">
        <v>0.0001</v>
      </c>
      <c r="F126">
        <f>IF(ISNUMBER(C126),IF(ABS(C126-D126)&lt;=E126,"PASS","FAIL"),"FAIL")</f>
      </c>
    </row>
    <row r="127">
      <c r="A127" t="inlineStr">
        <is>
          <t xml:space="preserve">Risk</t>
        </is>
      </c>
      <c r="B127" t="inlineStr">
        <is>
          <t xml:space="preserve">RISK_SORTINO</t>
        </is>
      </c>
      <c r="C127">
        <f>RISK_SORTINO(H3:H12,0.02,252)</f>
      </c>
      <c r="D127" t="inlineStr">
        <is>
          <t xml:space="preserve">number</t>
        </is>
      </c>
      <c r="F127">
        <f>IF(ISNUMBER(C127),"PASS","FAIL")</f>
      </c>
    </row>
    <row r="128">
      <c r="A128" t="inlineStr">
        <is>
          <t xml:space="preserve">Risk</t>
        </is>
      </c>
      <c r="B128" t="inlineStr">
        <is>
          <t xml:space="preserve">RISK_CALMAR</t>
        </is>
      </c>
      <c r="C128">
        <f>RISK_CALMAR(H3:H12,252)</f>
      </c>
      <c r="D128" t="inlineStr">
        <is>
          <t xml:space="preserve">number</t>
        </is>
      </c>
      <c r="F128">
        <f>IF(ISNUMBER(C128),"PASS","FAIL")</f>
      </c>
    </row>
    <row r="129">
      <c r="A129" t="inlineStr">
        <is>
          <t xml:space="preserve">Risk</t>
        </is>
      </c>
      <c r="B129" t="inlineStr">
        <is>
          <t xml:space="preserve">RISK_BETA</t>
        </is>
      </c>
      <c r="C129">
        <f>RISK_BETA(H3:H12,H3:H12)</f>
      </c>
      <c r="D129">
        <v>1</v>
      </c>
      <c r="E129">
        <v>0.0001</v>
      </c>
      <c r="F129">
        <f>IF(ISNUMBER(C129),IF(ABS(C129-D129)&lt;=E129,"PASS","FAIL"),"FAIL")</f>
      </c>
    </row>
    <row r="130">
      <c r="A130" t="inlineStr">
        <is>
          <t xml:space="preserve">Risk</t>
        </is>
      </c>
      <c r="B130" t="inlineStr">
        <is>
          <t xml:space="preserve">RISK_ALPHA</t>
        </is>
      </c>
      <c r="C130">
        <f>RISK_ALPHA(H3:H12,I3:I12,0.02,252)</f>
      </c>
      <c r="D130" t="inlineStr">
        <is>
          <t xml:space="preserve">number</t>
        </is>
      </c>
      <c r="F130">
        <f>IF(ISNUMBER(C130),"PASS","FAIL")</f>
      </c>
    </row>
    <row r="131">
      <c r="A131" t="inlineStr">
        <is>
          <t xml:space="preserve">Risk</t>
        </is>
      </c>
      <c r="B131" t="inlineStr">
        <is>
          <t xml:space="preserve">RISK_TREYNOR</t>
        </is>
      </c>
      <c r="C131">
        <f>RISK_TREYNOR(H3:H12,I3:I12,0.02,252)</f>
      </c>
      <c r="D131" t="inlineStr">
        <is>
          <t xml:space="preserve">number</t>
        </is>
      </c>
      <c r="F131">
        <f>IF(ISNUMBER(C131),"PASS","FAIL")</f>
      </c>
    </row>
    <row r="132">
      <c r="A132" t="inlineStr">
        <is>
          <t xml:space="preserve">Risk</t>
        </is>
      </c>
      <c r="B132" t="inlineStr">
        <is>
          <t xml:space="preserve">RISK_TE</t>
        </is>
      </c>
      <c r="C132">
        <f>RISK_TE(H3:H12,I3:I12,252)</f>
      </c>
      <c r="D132" t="inlineStr">
        <is>
          <t xml:space="preserve">positive</t>
        </is>
      </c>
      <c r="F132">
        <f>IF(AND(ISNUMBER(C132),C132&gt;0),"PASS","FAIL")</f>
      </c>
    </row>
    <row r="133">
      <c r="A133" t="inlineStr">
        <is>
          <t xml:space="preserve">Risk</t>
        </is>
      </c>
      <c r="B133" t="inlineStr">
        <is>
          <t xml:space="preserve">RISK_IR</t>
        </is>
      </c>
      <c r="C133">
        <f>RISK_IR(H3:H12,I3:I12,252)</f>
      </c>
      <c r="D133" t="inlineStr">
        <is>
          <t xml:space="preserve">number</t>
        </is>
      </c>
      <c r="F133">
        <f>IF(ISNUMBER(C133),"PASS","FAIL")</f>
      </c>
    </row>
    <row r="134">
      <c r="A134" t="inlineStr">
        <is>
          <t xml:space="preserve">Risk</t>
        </is>
      </c>
      <c r="B134" t="inlineStr">
        <is>
          <t xml:space="preserve">VOL_EWMA_LATEST</t>
        </is>
      </c>
      <c r="C134">
        <f>VOL_EWMA_LATEST(H3:H12,0.94)</f>
      </c>
      <c r="D134" t="inlineStr">
        <is>
          <t xml:space="preserve">positive</t>
        </is>
      </c>
      <c r="F134">
        <f>IF(AND(ISNUMBER(C134),C134&gt;0),"PASS","FAIL")</f>
      </c>
    </row>
    <row r="135">
      <c r="A135" t="inlineStr">
        <is>
          <t xml:space="preserve">Risk</t>
        </is>
      </c>
      <c r="B135" t="inlineStr">
        <is>
          <t xml:space="preserve">VOL_GARCH_LONGRUN</t>
        </is>
      </c>
      <c r="C135">
        <f>VOL_GARCH_LONGRUN(0.000002,0.05,0.9)</f>
      </c>
      <c r="D135">
        <v>4E-05</v>
      </c>
      <c r="E135">
        <v>1E-06</v>
      </c>
      <c r="F135">
        <f>IF(ISNUMBER(C135),IF(ABS(C135-D135)&lt;=E135,"PASS","FAIL"),"FAIL")</f>
      </c>
    </row>
    <row r="136">
      <c r="A136" t="inlineStr">
        <is>
          <t xml:space="preserve">Risk</t>
        </is>
      </c>
      <c r="B136" t="inlineStr">
        <is>
          <t xml:space="preserve">VOL_GARCH_FORECAST</t>
        </is>
      </c>
      <c r="C136">
        <f>VOL_GARCH_FORECAST(0.0002,0.000002,0.05,0.9,10)</f>
      </c>
      <c r="D136" t="inlineStr">
        <is>
          <t xml:space="preserve">positive</t>
        </is>
      </c>
      <c r="F136">
        <f>IF(AND(ISNUMBER(C136),C136&gt;0),"PASS","FAIL")</f>
      </c>
    </row>
    <row r="137">
      <c r="A137" t="inlineStr" s="1">
        <is>
          <t xml:space="preserve">FEES</t>
        </is>
      </c>
    </row>
    <row r="138">
      <c r="A138" t="inlineStr">
        <is>
          <t xml:space="preserve">Fees</t>
        </is>
      </c>
      <c r="B138" t="inlineStr">
        <is>
          <t xml:space="preserve">FEE_MGMT</t>
        </is>
      </c>
      <c r="C138">
        <f>FEE_MGMT(100000000,0.02,90,365)</f>
      </c>
      <c r="D138">
        <v>493150.68</v>
      </c>
      <c r="E138">
        <v>1</v>
      </c>
      <c r="F138">
        <f>IF(ISNUMBER(C138),IF(ABS(C138-D138)&lt;=E138,"PASS","FAIL"),"FAIL")</f>
      </c>
    </row>
    <row r="139">
      <c r="A139" t="inlineStr">
        <is>
          <t xml:space="preserve">Fees</t>
        </is>
      </c>
      <c r="B139" t="inlineStr">
        <is>
          <t xml:space="preserve">FEE_PERF</t>
        </is>
      </c>
      <c r="C139">
        <f>FEE_PERF(120,100,100,0.2,0)</f>
      </c>
      <c r="D139">
        <v>4</v>
      </c>
      <c r="E139">
        <v>0.0001</v>
      </c>
      <c r="F139">
        <f>IF(ISNUMBER(C139),IF(ABS(C139-D139)&lt;=E139,"PASS","FAIL"),"FAIL")</f>
      </c>
    </row>
    <row r="140">
      <c r="A140" t="inlineStr">
        <is>
          <t xml:space="preserve">Fees</t>
        </is>
      </c>
      <c r="B140" t="inlineStr">
        <is>
          <t xml:space="preserve">FEE_HWM</t>
        </is>
      </c>
      <c r="C140">
        <f>FEE_HWM(AA3:AA7)</f>
      </c>
      <c r="D140">
        <v>130</v>
      </c>
      <c r="E140">
        <v>0.0001</v>
      </c>
      <c r="F140">
        <f>IF(ISNUMBER(C140),IF(ABS(C140-D140)&lt;=E140,"PASS","FAIL"),"FAIL")</f>
      </c>
    </row>
    <row r="141">
      <c r="A141" t="inlineStr">
        <is>
          <t xml:space="preserve">Fees</t>
        </is>
      </c>
      <c r="B141" t="inlineStr">
        <is>
          <t xml:space="preserve">FEE_EXPENSE_DRAG</t>
        </is>
      </c>
      <c r="C141">
        <f>FEE_EXPENSE_DRAG(0.1,0.01,5)</f>
      </c>
      <c r="D141" t="inlineStr">
        <is>
          <t xml:space="preserve">positive</t>
        </is>
      </c>
      <c r="F141">
        <f>IF(AND(ISNUMBER(C141),C141&gt;0),"PASS","FAIL")</f>
      </c>
    </row>
    <row r="142">
      <c r="A142" t="inlineStr">
        <is>
          <t xml:space="preserve">Fees</t>
        </is>
      </c>
      <c r="B142" t="inlineStr">
        <is>
          <t xml:space="preserve">FEE_NET_RETURN</t>
        </is>
      </c>
      <c r="C142">
        <f>FEE_NET_RETURN(0.1,0.01)</f>
      </c>
      <c r="D142">
        <v>0.089109</v>
      </c>
      <c r="E142">
        <v>0.0001</v>
      </c>
      <c r="F142">
        <f>IF(ISNUMBER(C142),IF(ABS(C142-D142)&lt;=E142,"PASS","FAIL"),"FAIL")</f>
      </c>
    </row>
    <row r="143">
      <c r="A143" t="inlineStr">
        <is>
          <t xml:space="preserve">Fees</t>
        </is>
      </c>
      <c r="B143" t="inlineStr">
        <is>
          <t xml:space="preserve">FEE_CARRIED_INT</t>
        </is>
      </c>
      <c r="C143">
        <f>FEE_CARRIED_INT(1280,1000,0.08,1,0.2)</f>
      </c>
      <c r="D143">
        <v>40</v>
      </c>
      <c r="E143">
        <v>0.0001</v>
      </c>
      <c r="F143">
        <f>IF(ISNUMBER(C143),IF(ABS(C143-D143)&lt;=E143,"PASS","FAIL"),"FAIL")</f>
      </c>
    </row>
    <row r="144">
      <c r="A144" t="inlineStr">
        <is>
          <t xml:space="preserve">Fees</t>
        </is>
      </c>
      <c r="B144" t="inlineStr">
        <is>
          <t xml:space="preserve">FEE_TRANSACTION_COST</t>
        </is>
      </c>
      <c r="C144">
        <f>FEE_TRANSACTION_COST(1000000,0.001,4)</f>
      </c>
      <c r="D144">
        <v>1200</v>
      </c>
      <c r="E144">
        <v>0.0001</v>
      </c>
      <c r="F144">
        <f>IF(ISNUMBER(C144),IF(ABS(C144-D144)&lt;=E144,"PASS","FAIL"),"FAIL")</f>
      </c>
    </row>
    <row r="145">
      <c r="A145" t="inlineStr" s="1">
        <is>
          <t xml:space="preserve">ATTRIBUTION</t>
        </is>
      </c>
    </row>
    <row r="146">
      <c r="A146" t="inlineStr">
        <is>
          <t xml:space="preserve">Attribution</t>
        </is>
      </c>
      <c r="B146" t="inlineStr">
        <is>
          <t xml:space="preserve">ATTR_TWR</t>
        </is>
      </c>
      <c r="C146">
        <f>ATTR_TWR(R3:R5)</f>
      </c>
      <c r="D146">
        <v>0.09725</v>
      </c>
      <c r="E146">
        <v>0.0001</v>
      </c>
      <c r="F146">
        <f>IF(ISNUMBER(C146),IF(ABS(C146-D146)&lt;=E146,"PASS","FAIL"),"FAIL")</f>
      </c>
    </row>
    <row r="147">
      <c r="A147" t="inlineStr">
        <is>
          <t xml:space="preserve">Attribution</t>
        </is>
      </c>
      <c r="B147" t="inlineStr">
        <is>
          <t xml:space="preserve">ATTR_MDIETZ</t>
        </is>
      </c>
      <c r="C147">
        <f>ATTR_MDIETZ(1000,1200,AS3:AS3,AT3:AT3,365)</f>
      </c>
      <c r="D147">
        <v>0.095238</v>
      </c>
      <c r="E147">
        <v>0.001</v>
      </c>
      <c r="F147">
        <f>IF(ISNUMBER(C147),IF(ABS(C147-D147)&lt;=E147,"PASS","FAIL"),"FAIL")</f>
      </c>
    </row>
    <row r="148">
      <c r="A148" t="inlineStr">
        <is>
          <t xml:space="preserve">Attribution</t>
        </is>
      </c>
      <c r="B148" t="inlineStr">
        <is>
          <t xml:space="preserve">ATTR_IRR</t>
        </is>
      </c>
      <c r="C148">
        <f>ATTR_IRR(U3:U4,V3:V4,0.1)</f>
      </c>
      <c r="D148">
        <v>0.09531</v>
      </c>
      <c r="E148">
        <v>0.0001</v>
      </c>
      <c r="F148">
        <f>IF(ISNUMBER(C148),IF(ABS(C148-D148)&lt;=E148,"PASS","FAIL"),"FAIL")</f>
      </c>
    </row>
    <row r="149">
      <c r="A149" t="inlineStr">
        <is>
          <t xml:space="preserve">Attribution</t>
        </is>
      </c>
      <c r="B149" t="inlineStr">
        <is>
          <t xml:space="preserve">ATTR_NPV</t>
        </is>
      </c>
      <c r="C149">
        <f>ATTR_NPV(U3:U4,V3:V4,0.05)</f>
      </c>
      <c r="D149">
        <v>46.35</v>
      </c>
      <c r="E149">
        <v>0.5</v>
      </c>
      <c r="F149">
        <f>IF(ISNUMBER(C149),IF(ABS(C149-D149)&lt;=E149,"PASS","FAIL"),"FAIL")</f>
      </c>
    </row>
    <row r="150">
      <c r="A150" t="inlineStr">
        <is>
          <t xml:space="preserve">Attribution</t>
        </is>
      </c>
      <c r="B150" t="inlineStr">
        <is>
          <t xml:space="preserve">ATTR_ALLOC</t>
        </is>
      </c>
      <c r="C150">
        <f>ATTR_ALLOC(0.5,0.4,0.05,0.04)</f>
      </c>
      <c r="D150" t="inlineStr">
        <is>
          <t xml:space="preserve">number</t>
        </is>
      </c>
      <c r="F150">
        <f>IF(ISNUMBER(C150),"PASS","FAIL")</f>
      </c>
    </row>
    <row r="151">
      <c r="A151" t="inlineStr">
        <is>
          <t xml:space="preserve">Attribution</t>
        </is>
      </c>
      <c r="B151" t="inlineStr">
        <is>
          <t xml:space="preserve">ATTR_SELECT</t>
        </is>
      </c>
      <c r="C151">
        <f>ATTR_SELECT(0.4,0.1,0.08)</f>
      </c>
      <c r="D151">
        <v>0.008</v>
      </c>
      <c r="E151">
        <v>0.0001</v>
      </c>
      <c r="F151">
        <f>IF(ISNUMBER(C151),IF(ABS(C151-D151)&lt;=E151,"PASS","FAIL"),"FAIL")</f>
      </c>
    </row>
    <row r="152">
      <c r="A152" t="inlineStr">
        <is>
          <t xml:space="preserve">Attribution</t>
        </is>
      </c>
      <c r="B152" t="inlineStr">
        <is>
          <t xml:space="preserve">ATTR_INTERACT</t>
        </is>
      </c>
      <c r="C152">
        <f>ATTR_INTERACT(0.5,0.4,0.1,0.08)</f>
      </c>
      <c r="D152">
        <v>0.002</v>
      </c>
      <c r="E152">
        <v>0.0001</v>
      </c>
      <c r="F152">
        <f>IF(ISNUMBER(C152),IF(ABS(C152-D152)&lt;=E152,"PASS","FAIL"),"FAIL")</f>
      </c>
    </row>
    <row r="153">
      <c r="A153" t="inlineStr">
        <is>
          <t xml:space="preserve">Attribution</t>
        </is>
      </c>
      <c r="B153" t="inlineStr">
        <is>
          <t xml:space="preserve">ATTR_BHB_ALLOC</t>
        </is>
      </c>
      <c r="C153">
        <f>ATTR_BHB_ALLOC(AF3:AF4,AG3:AG4,AH3:AH4,AI3:AI4)</f>
      </c>
      <c r="D153" t="inlineStr">
        <is>
          <t xml:space="preserve">number</t>
        </is>
      </c>
      <c r="F153">
        <f>IF(ISNUMBER(C153),"PASS","FAIL")</f>
      </c>
    </row>
    <row r="154">
      <c r="A154" t="inlineStr">
        <is>
          <t xml:space="preserve">Attribution</t>
        </is>
      </c>
      <c r="B154" t="inlineStr">
        <is>
          <t xml:space="preserve">ATTR_BHB_SELECT</t>
        </is>
      </c>
      <c r="C154">
        <f>ATTR_BHB_SELECT(AF3:AF4,AG3:AG4,AH3:AH4,AI3:AI4)</f>
      </c>
      <c r="D154" t="inlineStr">
        <is>
          <t xml:space="preserve">number</t>
        </is>
      </c>
      <c r="F154">
        <f>IF(ISNUMBER(C154),"PASS","FAIL")</f>
      </c>
    </row>
    <row r="155">
      <c r="A155" t="inlineStr">
        <is>
          <t xml:space="preserve">Attribution</t>
        </is>
      </c>
      <c r="B155" t="inlineStr">
        <is>
          <t xml:space="preserve">ATTR_BHB_INTERACT</t>
        </is>
      </c>
      <c r="C155">
        <f>ATTR_BHB_INTERACT(AF3:AF4,AG3:AG4,AH3:AH4,AI3:AI4)</f>
      </c>
      <c r="D155" t="inlineStr">
        <is>
          <t xml:space="preserve">number</t>
        </is>
      </c>
      <c r="F155">
        <f>IF(ISNUMBER(C155),"PASS","FAIL")</f>
      </c>
    </row>
    <row r="156">
      <c r="A156" t="inlineStr">
        <is>
          <t xml:space="preserve">Attribution</t>
        </is>
      </c>
      <c r="B156" t="inlineStr">
        <is>
          <t xml:space="preserve">ATTR_ACTIVE_RETURN</t>
        </is>
      </c>
      <c r="C156">
        <f>ATTR_ACTIVE_RETURN(0.07,0.05)</f>
      </c>
      <c r="D156">
        <v>0.02</v>
      </c>
      <c r="E156">
        <v>0.0001</v>
      </c>
      <c r="F156">
        <f>IF(ISNUMBER(C156),IF(ABS(C156-D156)&lt;=E156,"PASS","FAIL"),"FAIL")</f>
      </c>
    </row>
    <row r="157">
      <c r="A157" t="inlineStr" s="1">
        <is>
          <t xml:space="preserve">EQUITY</t>
        </is>
      </c>
    </row>
    <row r="158">
      <c r="A158" t="inlineStr">
        <is>
          <t xml:space="preserve">Equity</t>
        </is>
      </c>
      <c r="B158" t="inlineStr">
        <is>
          <t xml:space="preserve">EQ_MKTCAP</t>
        </is>
      </c>
      <c r="C158">
        <f>EQ_MKTCAP(10000,100)</f>
      </c>
      <c r="D158">
        <v>1000000</v>
      </c>
      <c r="E158">
        <v>0.001</v>
      </c>
      <c r="F158">
        <f>IF(ISNUMBER(C158),IF(ABS(C158-D158)&lt;=E158,"PASS","FAIL"),"FAIL")</f>
      </c>
    </row>
    <row r="159">
      <c r="A159" t="inlineStr">
        <is>
          <t xml:space="preserve">Equity</t>
        </is>
      </c>
      <c r="B159" t="inlineStr">
        <is>
          <t xml:space="preserve">EQ_EV</t>
        </is>
      </c>
      <c r="C159">
        <f>EQ_EV(1000000,300000,100000)</f>
      </c>
      <c r="D159">
        <v>1200000</v>
      </c>
      <c r="E159">
        <v>0.001</v>
      </c>
      <c r="F159">
        <f>IF(ISNUMBER(C159),IF(ABS(C159-D159)&lt;=E159,"PASS","FAIL"),"FAIL")</f>
      </c>
    </row>
    <row r="160">
      <c r="A160" t="inlineStr">
        <is>
          <t xml:space="preserve">Equity</t>
        </is>
      </c>
      <c r="B160" t="inlineStr">
        <is>
          <t xml:space="preserve">EQ_PORT_VALUE</t>
        </is>
      </c>
      <c r="C160">
        <f>EQ_PORT_VALUE(AC3:AC5,AD3:AD5)</f>
      </c>
      <c r="D160">
        <v>3000</v>
      </c>
      <c r="E160">
        <v>0.001</v>
      </c>
      <c r="F160">
        <f>IF(ISNUMBER(C160),IF(ABS(C160-D160)&lt;=E160,"PASS","FAIL"),"FAIL")</f>
      </c>
    </row>
    <row r="161">
      <c r="A161" t="inlineStr">
        <is>
          <t xml:space="preserve">Equity</t>
        </is>
      </c>
      <c r="B161" t="inlineStr">
        <is>
          <t xml:space="preserve">EQ_PE</t>
        </is>
      </c>
      <c r="C161">
        <f>EQ_PE(100,5)</f>
      </c>
      <c r="D161">
        <v>20</v>
      </c>
      <c r="E161">
        <v>0.0001</v>
      </c>
      <c r="F161">
        <f>IF(ISNUMBER(C161),IF(ABS(C161-D161)&lt;=E161,"PASS","FAIL"),"FAIL")</f>
      </c>
    </row>
    <row r="162">
      <c r="A162" t="inlineStr">
        <is>
          <t xml:space="preserve">Equity</t>
        </is>
      </c>
      <c r="B162" t="inlineStr">
        <is>
          <t xml:space="preserve">EQ_PB</t>
        </is>
      </c>
      <c r="C162">
        <f>EQ_PB(50,20)</f>
      </c>
      <c r="D162">
        <v>2.5</v>
      </c>
      <c r="E162">
        <v>0.0001</v>
      </c>
      <c r="F162">
        <f>IF(ISNUMBER(C162),IF(ABS(C162-D162)&lt;=E162,"PASS","FAIL"),"FAIL")</f>
      </c>
    </row>
    <row r="163">
      <c r="A163" t="inlineStr">
        <is>
          <t xml:space="preserve">Equity</t>
        </is>
      </c>
      <c r="B163" t="inlineStr">
        <is>
          <t xml:space="preserve">EQ_PS</t>
        </is>
      </c>
      <c r="C163">
        <f>EQ_PS(2000,500)</f>
      </c>
      <c r="D163">
        <v>4</v>
      </c>
      <c r="E163">
        <v>0.0001</v>
      </c>
      <c r="F163">
        <f>IF(ISNUMBER(C163),IF(ABS(C163-D163)&lt;=E163,"PASS","FAIL"),"FAIL")</f>
      </c>
    </row>
    <row r="164">
      <c r="A164" t="inlineStr">
        <is>
          <t xml:space="preserve">Equity</t>
        </is>
      </c>
      <c r="B164" t="inlineStr">
        <is>
          <t xml:space="preserve">EQ_EVTOEBITDA</t>
        </is>
      </c>
      <c r="C164">
        <f>EQ_EVTOEBITDA(1000,100)</f>
      </c>
      <c r="D164">
        <v>10</v>
      </c>
      <c r="E164">
        <v>0.0001</v>
      </c>
      <c r="F164">
        <f>IF(ISNUMBER(C164),IF(ABS(C164-D164)&lt;=E164,"PASS","FAIL"),"FAIL")</f>
      </c>
    </row>
    <row r="165">
      <c r="A165" t="inlineStr">
        <is>
          <t xml:space="preserve">Equity</t>
        </is>
      </c>
      <c r="B165" t="inlineStr">
        <is>
          <t xml:space="preserve">EQ_DIV_YIELD</t>
        </is>
      </c>
      <c r="C165">
        <f>EQ_DIV_YIELD(2,50)</f>
      </c>
      <c r="D165">
        <v>0.04</v>
      </c>
      <c r="E165">
        <v>0.0001</v>
      </c>
      <c r="F165">
        <f>IF(ISNUMBER(C165),IF(ABS(C165-D165)&lt;=E165,"PASS","FAIL"),"FAIL")</f>
      </c>
    </row>
    <row r="166">
      <c r="A166" t="inlineStr">
        <is>
          <t xml:space="preserve">Equity</t>
        </is>
      </c>
      <c r="B166" t="inlineStr">
        <is>
          <t xml:space="preserve">EQ_UNREAL_PNL</t>
        </is>
      </c>
      <c r="C166">
        <f>EQ_UNREAL_PNL(10,100,120)</f>
      </c>
      <c r="D166">
        <v>200</v>
      </c>
      <c r="E166">
        <v>0.0001</v>
      </c>
      <c r="F166">
        <f>IF(ISNUMBER(C166),IF(ABS(C166-D166)&lt;=E166,"PASS","FAIL"),"FAIL")</f>
      </c>
    </row>
    <row r="167">
      <c r="A167" t="inlineStr">
        <is>
          <t xml:space="preserve">Equity</t>
        </is>
      </c>
      <c r="B167" t="inlineStr">
        <is>
          <t xml:space="preserve">EQ_REAL_PNL</t>
        </is>
      </c>
      <c r="C167">
        <f>EQ_REAL_PNL(10,100,90)</f>
      </c>
      <c r="D167">
        <v>-100</v>
      </c>
      <c r="E167">
        <v>0.0001</v>
      </c>
      <c r="F167">
        <f>IF(ISNUMBER(C167),IF(ABS(C167-D167)&lt;=E167,"PASS","FAIL"),"FAIL")</f>
      </c>
    </row>
    <row r="168">
      <c r="A168" t="inlineStr">
        <is>
          <t xml:space="preserve">Equity</t>
        </is>
      </c>
      <c r="B168" t="inlineStr">
        <is>
          <t xml:space="preserve">EQ_KELLY</t>
        </is>
      </c>
      <c r="C168">
        <f>EQ_KELLY(0.1,0.2)</f>
      </c>
      <c r="D168">
        <v>2.5</v>
      </c>
      <c r="E168">
        <v>0.0001</v>
      </c>
      <c r="F168">
        <f>IF(ISNUMBER(C168),IF(ABS(C168-D168)&lt;=E168,"PASS","FAIL"),"FAIL")</f>
      </c>
    </row>
    <row r="169">
      <c r="A169" t="inlineStr">
        <is>
          <t xml:space="preserve">Equity</t>
        </is>
      </c>
      <c r="B169" t="inlineStr">
        <is>
          <t xml:space="preserve">EQ_HALF_KELLY</t>
        </is>
      </c>
      <c r="C169">
        <f>EQ_HALF_KELLY(0.1,0.2)</f>
      </c>
      <c r="D169">
        <v>1.25</v>
      </c>
      <c r="E169">
        <v>0.0001</v>
      </c>
      <c r="F169">
        <f>IF(ISNUMBER(C169),IF(ABS(C169-D169)&lt;=E169,"PASS","FAIL"),"FAIL")</f>
      </c>
    </row>
    <row r="170">
      <c r="A170" t="inlineStr" s="1">
        <is>
          <t xml:space="preserve">ASYNC - Monte Carlo (shows #N/A until calc settles - recalc again)</t>
        </is>
      </c>
    </row>
    <row r="171">
      <c r="A171" t="inlineStr">
        <is>
          <t xml:space="preserve">Options</t>
        </is>
      </c>
      <c r="B171" t="inlineStr">
        <is>
          <t xml:space="preserve">MC_EUROPEAN</t>
        </is>
      </c>
      <c r="C171">
        <f>MC_EUROPEAN(100,100,1,0.05,0.2,50000,50,FALSE,42)</f>
      </c>
      <c r="D171">
        <v>10.45</v>
      </c>
      <c r="E171">
        <v>0.5</v>
      </c>
      <c r="F171">
        <f>IF(ISNUMBER(C171),IF(ABS(C171-D171)&lt;=E171,"PASS","FAIL"),"FAIL")</f>
      </c>
    </row>
    <row r="172">
      <c r="A172" t="inlineStr">
        <is>
          <t xml:space="preserve">Options</t>
        </is>
      </c>
      <c r="B172" t="inlineStr">
        <is>
          <t xml:space="preserve">MC_AMERICAN</t>
        </is>
      </c>
      <c r="C172">
        <f>MC_AMERICAN(100,100,1,0.05,0.2,20000,50,TRUE,42)</f>
      </c>
      <c r="D172" t="inlineStr">
        <is>
          <t xml:space="preserve">positive (&gt;= euro put)</t>
        </is>
      </c>
      <c r="F172">
        <f>IF(AND(ISNUMBER(C172),C172&gt;0),"PASS","FAIL")</f>
      </c>
    </row>
    <row r="173">
      <c r="A173" t="inlineStr" s="1">
        <is>
          <t xml:space="preserve">ARRAYS - returned weight vector; SUM(result) must equal 1</t>
        </is>
      </c>
    </row>
    <row r="174">
      <c r="A174" t="inlineStr">
        <is>
          <t xml:space="preserve">Portfolio</t>
        </is>
      </c>
      <c r="B174" t="inlineStr">
        <is>
          <t xml:space="preserve">PORT_MIN_VAR</t>
        </is>
      </c>
      <c r="C174">
        <f>SUM(PORT_MIN_VAR(M3:O5))</f>
      </c>
      <c r="D174">
        <v>1</v>
      </c>
      <c r="E174">
        <v>0.0001</v>
      </c>
      <c r="F174">
        <f>IF(ISNUMBER(C174),IF(ABS(C174-D174)&lt;=E174,"PASS","FAIL"),"FAIL")</f>
      </c>
    </row>
    <row r="175">
      <c r="A175" t="inlineStr">
        <is>
          <t xml:space="preserve">Portfolio</t>
        </is>
      </c>
      <c r="B175" t="inlineStr">
        <is>
          <t xml:space="preserve">PORT_RISK_PARITY</t>
        </is>
      </c>
      <c r="C175">
        <f>SUM(PORT_RISK_PARITY(M3:O5))</f>
      </c>
      <c r="D175">
        <v>1</v>
      </c>
      <c r="E175">
        <v>0.0001</v>
      </c>
      <c r="F175">
        <f>IF(ISNUMBER(C175),IF(ABS(C175-D175)&lt;=E175,"PASS","FAIL"),"FAIL")</f>
      </c>
    </row>
    <row r="176">
      <c r="A176" t="inlineStr">
        <is>
          <t xml:space="preserve">Portfolio</t>
        </is>
      </c>
      <c r="B176" t="inlineStr">
        <is>
          <t xml:space="preserve">PORT_MAX_SHARPE</t>
        </is>
      </c>
      <c r="C176">
        <f>SUM(PORT_MAX_SHARPE(L3:L5,M3:O5,0.02))</f>
      </c>
      <c r="D176">
        <v>1</v>
      </c>
      <c r="E176">
        <v>0.0001</v>
      </c>
      <c r="F176">
        <f>IF(ISNUMBER(C176),IF(ABS(C176-D176)&lt;=E176,"PASS","FAIL"),"FAIL")</f>
      </c>
    </row>
    <row r="177">
      <c r="A177" t="inlineStr">
        <is>
          <t xml:space="preserve">Portfolio</t>
        </is>
      </c>
      <c r="B177" t="inlineStr">
        <is>
          <t xml:space="preserve">PORT_RISK_CONTRIB</t>
        </is>
      </c>
      <c r="C177">
        <f>SUM(PORT_RISK_CONTRIB(K3:K5,M3:O5))</f>
      </c>
      <c r="D177">
        <v>1</v>
      </c>
      <c r="E177">
        <v>0.0001</v>
      </c>
      <c r="F177">
        <f>IF(ISNUMBER(C177),IF(ABS(C177-D177)&lt;=E177,"PASS","FAIL"),"FAIL")</f>
      </c>
    </row>
    <row r="178">
      <c r="A178" t="inlineStr" s="1">
        <is>
          <t xml:space="preserve">ERROR HANDLING &amp; NORMALIZATION</t>
        </is>
      </c>
    </row>
    <row r="179">
      <c r="A179" t="inlineStr">
        <is>
          <t xml:space="preserve">Errors</t>
        </is>
      </c>
      <c r="B179" t="inlineStr">
        <is>
          <t xml:space="preserve">BS_CALL sigma=0</t>
        </is>
      </c>
      <c r="C179">
        <f>BS_CALL(100,100,1,0.05,0)</f>
      </c>
      <c r="D179" t="inlineStr">
        <is>
          <t xml:space="preserve">sigma (volatility) must be greater than 0.</t>
        </is>
      </c>
      <c r="F179">
        <f>IF(EXACT(C179,D179),"PASS","FAIL")</f>
      </c>
    </row>
    <row r="180">
      <c r="A180" t="inlineStr">
        <is>
          <t xml:space="preserve">Errors</t>
        </is>
      </c>
      <c r="B180" t="inlineStr">
        <is>
          <t xml:space="preserve">BS_CALL S=-5</t>
        </is>
      </c>
      <c r="C180">
        <f>BS_CALL(-5,100,1,0.05,0.2)</f>
      </c>
      <c r="D180" t="inlineStr">
        <is>
          <t xml:space="preserve">S must be greater than 0.</t>
        </is>
      </c>
      <c r="F180">
        <f>IF(EXACT(C180,D180),"PASS","FAIL")</f>
      </c>
    </row>
    <row r="181">
      <c r="A181" t="inlineStr">
        <is>
          <t xml:space="preserve">Errors</t>
        </is>
      </c>
      <c r="B181" t="inlineStr">
        <is>
          <t xml:space="preserve">BS_CALL sigma=20% text</t>
        </is>
      </c>
      <c r="C181">
        <f>BS_CALL(100,100,1,0.05,"20%")</f>
      </c>
      <c r="D181">
        <v>10.4506</v>
      </c>
      <c r="E181">
        <v>0.001</v>
      </c>
      <c r="F181">
        <f>IF(ISNUMBER(C181),IF(ABS(C181-D181)&lt;=E181,"PASS","FAIL"),"FAIL")</f>
      </c>
    </row>
  </sheetData>
  <conditionalFormatting sqref="F7:F400">
    <cfRule type="cellIs" dxfId="0" priority="1" operator="equal">
      <formula>"PASS"</formula>
    </cfRule>
    <cfRule type="cellIs" dxfId="1" priority="2" operator="equal">
      <formula>"FAIL"</formula>
    </cfRule>
  </conditionalFormatting>
</worksheet>
</file>